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cholas\Desktop\tutorial\"/>
    </mc:Choice>
  </mc:AlternateContent>
  <xr:revisionPtr revIDLastSave="0" documentId="8_{BA50DB98-9152-4E1D-84D0-4F95FDB45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 Detalhado" sheetId="1" r:id="rId1"/>
    <sheet name="Resumo por Catego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" l="1"/>
  <c r="E68" i="1"/>
  <c r="E67" i="1"/>
  <c r="E66" i="1"/>
  <c r="E65" i="1"/>
  <c r="B11" i="2" s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B10" i="2" s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B9" i="2" s="1"/>
  <c r="E32" i="1"/>
  <c r="E31" i="1"/>
  <c r="E30" i="1"/>
  <c r="E29" i="1"/>
  <c r="B8" i="2" s="1"/>
  <c r="E28" i="1"/>
  <c r="E27" i="1"/>
  <c r="B7" i="2" s="1"/>
  <c r="E26" i="1"/>
  <c r="E25" i="1"/>
  <c r="E24" i="1"/>
  <c r="E23" i="1"/>
  <c r="B6" i="2" s="1"/>
  <c r="E22" i="1"/>
  <c r="E21" i="1"/>
  <c r="B5" i="2" s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4" i="2" s="1"/>
  <c r="B12" i="2" l="1"/>
  <c r="C8" i="2" s="1"/>
  <c r="E70" i="1"/>
  <c r="C10" i="2" l="1"/>
  <c r="C9" i="2"/>
  <c r="C7" i="2"/>
  <c r="C11" i="2"/>
  <c r="C6" i="2"/>
  <c r="C4" i="2"/>
  <c r="C5" i="2"/>
  <c r="C12" i="2" l="1"/>
</calcChain>
</file>

<file path=xl/sharedStrings.xml><?xml version="1.0" encoding="utf-8"?>
<sst xmlns="http://schemas.openxmlformats.org/spreadsheetml/2006/main" count="217" uniqueCount="132">
  <si>
    <t>ORÇAMENTO ESTIMADO DE PEÇAS - IMPRESSORA 3D</t>
  </si>
  <si>
    <t>Cotação media de mercado de componentes (Valores em R$ BRL)</t>
  </si>
  <si>
    <t>Categoria</t>
  </si>
  <si>
    <t>Descrição da Peça / Componente</t>
  </si>
  <si>
    <t>Qtd</t>
  </si>
  <si>
    <t>Custo Unit. Estimado (R$)</t>
  </si>
  <si>
    <t>Custo Total Estimado (R$)</t>
  </si>
  <si>
    <t>Observações</t>
  </si>
  <si>
    <t>PARAFUSOS</t>
  </si>
  <si>
    <t>Parafuso M3 6mm (allen)</t>
  </si>
  <si>
    <t>Aço inox / carbono</t>
  </si>
  <si>
    <t>Parafuso M3 10mm (allen)</t>
  </si>
  <si>
    <t>Parafuso M3 10mm CABEÇA CHATA</t>
  </si>
  <si>
    <t>Parafuso M3 15mm (allen)</t>
  </si>
  <si>
    <t>Parafuso M3 18 mm (allen)</t>
  </si>
  <si>
    <t>Parafuso M3 20 mm (allen)</t>
  </si>
  <si>
    <t>Parafuso M3 25 mm (allen)</t>
  </si>
  <si>
    <t>Parafuso M3 30 mm (allen)</t>
  </si>
  <si>
    <t>Parafuso M3 40 mm (allen)</t>
  </si>
  <si>
    <t>Parafuso M4 15 mm (allen)</t>
  </si>
  <si>
    <t>Parafuso M4 CABEÇA CHATA 30mm</t>
  </si>
  <si>
    <t>Parafuso M5 CABEÇA CHATA 30mm</t>
  </si>
  <si>
    <t>Parafuso M5 45mm</t>
  </si>
  <si>
    <t>Parafuso M5 20mm</t>
  </si>
  <si>
    <t>Parafuso M5 30mm</t>
  </si>
  <si>
    <t>ESPAÇADORES</t>
  </si>
  <si>
    <t>M3 DE COBRE COM 15MM DE CORPO E 5 MM DE ROSCA MACHO</t>
  </si>
  <si>
    <t>Espaçador latão/cobre M3</t>
  </si>
  <si>
    <t>M3 DE NYLON 10 MM DE CORPO E 5 MM DE ROSCA MACHO</t>
  </si>
  <si>
    <t>Espaçador Nylon M3</t>
  </si>
  <si>
    <t>PORCAS</t>
  </si>
  <si>
    <t>Porca M3 TRAVANTE</t>
  </si>
  <si>
    <t>Nyloc / Auto-travante</t>
  </si>
  <si>
    <t>Porca M3 QUADRADA</t>
  </si>
  <si>
    <t>Porca quadrada para perfil/peças</t>
  </si>
  <si>
    <t>Porca M5 TRAVANTE</t>
  </si>
  <si>
    <t>Porca M5</t>
  </si>
  <si>
    <t>Porca sextavada padrão</t>
  </si>
  <si>
    <t>ARRUELAS</t>
  </si>
  <si>
    <t>Arruela M3</t>
  </si>
  <si>
    <t>Lisa de aço</t>
  </si>
  <si>
    <t>Arruela M5</t>
  </si>
  <si>
    <t>EIXOS E FUSOS</t>
  </si>
  <si>
    <t>Eixo 12 mm / 350mm comprimento (h7 cromo &gt;0.15mm)</t>
  </si>
  <si>
    <t>Eixo temperado/cromado</t>
  </si>
  <si>
    <t>Eixo 8 mm/ 300 mm comprimento (h7 cromo &gt;0.15mm)</t>
  </si>
  <si>
    <t>Eixo 8 mm/ 250 mm comprimento (h7 cromo &gt;0.15mm)</t>
  </si>
  <si>
    <t>Parafuso TR8 293 mm (ou 300mm) Fuso Z</t>
  </si>
  <si>
    <t>Fuso Trapezoidal TR8 com passo 8/4mm</t>
  </si>
  <si>
    <t>Stop eixo y 8mm (Anel de trava/Trava de eixo)</t>
  </si>
  <si>
    <t>Colar de trava de fuso/eixo 8mm</t>
  </si>
  <si>
    <t>ROLAMENTOS E TRANSMISSÃO</t>
  </si>
  <si>
    <t>pillow block sc8uu</t>
  </si>
  <si>
    <t>Bloco de rolamento linear 8mm</t>
  </si>
  <si>
    <t>rolamento LM12UU</t>
  </si>
  <si>
    <t>Rolamento linear 12mm</t>
  </si>
  <si>
    <t>rolamento LM8UU</t>
  </si>
  <si>
    <t>Rolamento linear 8mm</t>
  </si>
  <si>
    <t>rolamento LMK8UU com flange</t>
  </si>
  <si>
    <t>Rolamento linear com flange 8mm</t>
  </si>
  <si>
    <t>Mancal 12mm (KFL001 / SHF12)</t>
  </si>
  <si>
    <t>Suporte / Mancal para eixo 12mm</t>
  </si>
  <si>
    <t>Mancal kfl08</t>
  </si>
  <si>
    <t>Mancal auto-alinhante 8mm</t>
  </si>
  <si>
    <t>lmk12uu com flange</t>
  </si>
  <si>
    <t>Rolamento linear com flange 12mm</t>
  </si>
  <si>
    <t>Suporte Eixo Guia Linear 8mm Shf8</t>
  </si>
  <si>
    <t>Suporte guia SHF8</t>
  </si>
  <si>
    <t>Acoplamento connector D20 L25 (8mm para 5mm) Alumínio flex/rígido</t>
  </si>
  <si>
    <t>Acoplador de eixo motor/fuso</t>
  </si>
  <si>
    <t>Castanha para fuso eixo Z Screw Shaft φ8, 278mm (lead 4)</t>
  </si>
  <si>
    <t>Castanha de latão TR8</t>
  </si>
  <si>
    <t>Rolamento mr105zz</t>
  </si>
  <si>
    <t>Rolamento de esferas 5x10x4mm</t>
  </si>
  <si>
    <t>Rolamento 625 (625zz)</t>
  </si>
  <si>
    <t>Rolamento 5x16x5mm</t>
  </si>
  <si>
    <t>Polia gt2 20 teeth bore 5mm (diâmetro externo 16mm)</t>
  </si>
  <si>
    <t>Polia GT2 20 dentes furo 5mm</t>
  </si>
  <si>
    <t>Correia eixo Y GT-2 belt, 2 mm pitch, 6 mm width (50 cm)</t>
  </si>
  <si>
    <t>Correia sincronizada GT2 periódo 50cm</t>
  </si>
  <si>
    <t>Mola FIO 1.2 mm / diametro interno 5mm / altura 20-25mm</t>
  </si>
  <si>
    <t>Mola de nivelamento / tensão</t>
  </si>
  <si>
    <t>Graxa branca de lítio (tubo/pote)</t>
  </si>
  <si>
    <t>Lubrificante para eixos e fusos</t>
  </si>
  <si>
    <t>MOTORES E ELETRÔNICA</t>
  </si>
  <si>
    <t>Motor de Passo NEMA 17 Kysan 1124090 ou 1.5A-1.7A (4.2-4.5kg.cm)</t>
  </si>
  <si>
    <t>Motores de passo para eixos X, Y, Z e Extrusora</t>
  </si>
  <si>
    <t>Sensor Indutivo M12 4mm NPN NC 3 Fios 5V Lj12a3-4-z/bx-5v</t>
  </si>
  <si>
    <t>Sensor auto-nivelamento de mesa</t>
  </si>
  <si>
    <t>Endstop 125AVC 2A (MODELO NO.MP2344_all / Chave fim de curso)</t>
  </si>
  <si>
    <t>Chaves fim de curso (X/Y/Z) - est. 3 unidades</t>
  </si>
  <si>
    <t>Manta magnética 0.8 sem adesivo / Base de impressão</t>
  </si>
  <si>
    <t>Manta magnética flexível</t>
  </si>
  <si>
    <t>Tinta preta (Spray Automotivo Splaycolor 910) - Frasco 1</t>
  </si>
  <si>
    <t>Pintura de estruturas/peças</t>
  </si>
  <si>
    <t>Tinta preta (Spray Automotivo Splaycolor 910) - Frasco 2</t>
  </si>
  <si>
    <t>Placa Eletrônica SKR Mini E3 (BIGTREETECH)</t>
  </si>
  <si>
    <t>Placa mãe 32 bits com drivers silenciosos</t>
  </si>
  <si>
    <t>Engrenagem dentes feed MK8 drive gear</t>
  </si>
  <si>
    <t>Tracionador de tracionamento de filamento</t>
  </si>
  <si>
    <t>Cooler 3010 Back Fan 12V alta rotação 12000rpm</t>
  </si>
  <si>
    <t>Ventoinha de refrigeração 30x30x10mm</t>
  </si>
  <si>
    <t>Cooler 4010 Back Fan 12V 7500rpm</t>
  </si>
  <si>
    <t>Ventoinha de refrigeração 40x40x10mm</t>
  </si>
  <si>
    <t>Probe LJ18A3-8-Z/BY (distância 8mm)</t>
  </si>
  <si>
    <t>Sensor indutivo alternativo/adicional</t>
  </si>
  <si>
    <t>Colarinho fixação eixo z 12x8x20</t>
  </si>
  <si>
    <t>Anéis de trava/fixação eixo Z</t>
  </si>
  <si>
    <t>Passador de fio / Organizador Fio Elétrico (metro)</t>
  </si>
  <si>
    <t>Organizador de cabos / Tubo espiral</t>
  </si>
  <si>
    <t>Serviço de impressão 3d de peças (16 horas estimado)</t>
  </si>
  <si>
    <t>Valor/hora de impressão de peças estruturais</t>
  </si>
  <si>
    <t>Frame / Estrutura rígida da impressora</t>
  </si>
  <si>
    <t>Perfis de alumínio / painéis de corte de mdf/aço</t>
  </si>
  <si>
    <t>Carretel de Filamento PLA / PETG 1kg</t>
  </si>
  <si>
    <t>Insumo para testes e impressão inicial</t>
  </si>
  <si>
    <t>CABOS E FONTE</t>
  </si>
  <si>
    <t>Connector KK 2.5 mm fêmea 2 vias (com conector metálico) 5.5x2.1mm / 10A 100-220V</t>
  </si>
  <si>
    <t>Conector de alimentação/sinal</t>
  </si>
  <si>
    <t>Fio 22 AWG (Cabos gerais - preto, amarelo, branco, vermelho) - kit/metro</t>
  </si>
  <si>
    <t>Fiação de sensores e motores (10m est.)</t>
  </si>
  <si>
    <t>Fio 17 AWG (Cabo de força - preto e vermelho) - metro</t>
  </si>
  <si>
    <t>Fiação de alta corrente/mesa (3m est.)</t>
  </si>
  <si>
    <t>Fêmea P4 Conectores Jack Fêmea P4 5.5mm 2.1mm</t>
  </si>
  <si>
    <t>Conectores Jack P4</t>
  </si>
  <si>
    <t>Fonte Chaveada 12V 6A a 12V Modelo YU1206</t>
  </si>
  <si>
    <t>Fonte de alimentação 12V</t>
  </si>
  <si>
    <t>TOTAL GERAL ESTIMADO</t>
  </si>
  <si>
    <t>RESUMO FINANCEIRO POR CATEGORIA</t>
  </si>
  <si>
    <t>Categoria de Componentes</t>
  </si>
  <si>
    <t>% do Orçamento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</si>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</sst>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1B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C"/>
        <bgColor rgb="FFF9FAFC"/>
      </patternFill>
    </fill>
    <fill>
      <patternFill patternType="solid">
        <fgColor rgb="FFD9E2EC"/>
        <bgColor rgb="FFD9E2E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/>
    <xf numFmtId="0" fontId="0" fillId="4" borderId="2" xfId="0" applyFill="1" applyBorder="1"/>
    <xf numFmtId="164" fontId="5" fillId="4" borderId="2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Distribuição do Orçamento por Categoria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'Resumo por Categoria'!$B$3</c:f>
              <c:strCache>
                <c:ptCount val="1"/>
                <c:pt idx="0">
                  <c:v>Custo Total Estimado (R$)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'Resumo por Categoria'!$A$4:$A$11</c:f>
              <c:strCache>
                <c:ptCount val="8"/>
                <c:pt idx="0">
                  <c:v>PARAFUSOS</c:v>
                </c:pt>
                <c:pt idx="1">
                  <c:v>ESPAÇADORES</c:v>
                </c:pt>
                <c:pt idx="2">
                  <c:v>PORCAS</c:v>
                </c:pt>
                <c:pt idx="3">
                  <c:v>ARRUELAS</c:v>
                </c:pt>
                <c:pt idx="4">
                  <c:v>EIXOS E FUSOS</c:v>
                </c:pt>
                <c:pt idx="5">
                  <c:v>ROLAMENTOS E TRANSMISSÃO</c:v>
                </c:pt>
                <c:pt idx="6">
                  <c:v>MOTORES E ELETRÔNICA</c:v>
                </c:pt>
                <c:pt idx="7">
                  <c:v>CABOS E FONTE</c:v>
                </c:pt>
              </c:strCache>
            </c:strRef>
          </c:cat>
          <c:val>
            <c:numRef>
              <c:f>'Resumo por Categoria'!$B$4:$B$11</c:f>
              <c:numCache>
                <c:formatCode>\R\$\ #,##0.00</c:formatCode>
                <c:ptCount val="8"/>
                <c:pt idx="0">
                  <c:v>85.449999999999989</c:v>
                </c:pt>
                <c:pt idx="1">
                  <c:v>9</c:v>
                </c:pt>
                <c:pt idx="2">
                  <c:v>37.799999999999997</c:v>
                </c:pt>
                <c:pt idx="3">
                  <c:v>5.25</c:v>
                </c:pt>
                <c:pt idx="4">
                  <c:v>303</c:v>
                </c:pt>
                <c:pt idx="5">
                  <c:v>516.5</c:v>
                </c:pt>
                <c:pt idx="6">
                  <c:v>1299</c:v>
                </c:pt>
                <c:pt idx="7">
                  <c:v>109.5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0-43EC-87DC-16C468659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12" workbookViewId="0"/>
  </sheetViews>
  <sheetFormatPr defaultRowHeight="14.4" x14ac:dyDescent="0.3"/>
  <cols>
    <col min="1" max="1" width="66.88671875" customWidth="1"/>
    <col min="2" max="2" width="50" customWidth="1"/>
    <col min="3" max="3" width="12" customWidth="1"/>
    <col min="4" max="5" width="29" customWidth="1"/>
    <col min="6" max="6" width="42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4" spans="1:6" ht="25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9.95" customHeight="1" x14ac:dyDescent="0.3">
      <c r="A5" s="4" t="s">
        <v>8</v>
      </c>
      <c r="B5" s="4" t="s">
        <v>9</v>
      </c>
      <c r="C5" s="5">
        <v>2</v>
      </c>
      <c r="D5" s="6">
        <v>0.3</v>
      </c>
      <c r="E5" s="6">
        <f t="shared" ref="E5:E36" si="0">C5*D5</f>
        <v>0.6</v>
      </c>
      <c r="F5" s="4" t="s">
        <v>10</v>
      </c>
    </row>
    <row r="6" spans="1:6" ht="19.95" customHeight="1" x14ac:dyDescent="0.3">
      <c r="A6" s="7" t="s">
        <v>8</v>
      </c>
      <c r="B6" s="7" t="s">
        <v>11</v>
      </c>
      <c r="C6" s="8">
        <v>16</v>
      </c>
      <c r="D6" s="9">
        <v>0.35</v>
      </c>
      <c r="E6" s="9">
        <f t="shared" si="0"/>
        <v>5.6</v>
      </c>
      <c r="F6" s="7" t="s">
        <v>10</v>
      </c>
    </row>
    <row r="7" spans="1:6" ht="19.95" customHeight="1" x14ac:dyDescent="0.3">
      <c r="A7" s="4" t="s">
        <v>8</v>
      </c>
      <c r="B7" s="4" t="s">
        <v>12</v>
      </c>
      <c r="C7" s="5">
        <v>1</v>
      </c>
      <c r="D7" s="6">
        <v>0.35</v>
      </c>
      <c r="E7" s="6">
        <f t="shared" si="0"/>
        <v>0.35</v>
      </c>
      <c r="F7" s="4" t="s">
        <v>10</v>
      </c>
    </row>
    <row r="8" spans="1:6" ht="19.95" customHeight="1" x14ac:dyDescent="0.3">
      <c r="A8" s="7" t="s">
        <v>8</v>
      </c>
      <c r="B8" s="7" t="s">
        <v>13</v>
      </c>
      <c r="C8" s="8">
        <v>20</v>
      </c>
      <c r="D8" s="9">
        <v>0.4</v>
      </c>
      <c r="E8" s="9">
        <f t="shared" si="0"/>
        <v>8</v>
      </c>
      <c r="F8" s="7" t="s">
        <v>10</v>
      </c>
    </row>
    <row r="9" spans="1:6" ht="19.95" customHeight="1" x14ac:dyDescent="0.3">
      <c r="A9" s="4" t="s">
        <v>8</v>
      </c>
      <c r="B9" s="4" t="s">
        <v>14</v>
      </c>
      <c r="C9" s="5">
        <v>5</v>
      </c>
      <c r="D9" s="6">
        <v>0.45</v>
      </c>
      <c r="E9" s="6">
        <f t="shared" si="0"/>
        <v>2.25</v>
      </c>
      <c r="F9" s="4" t="s">
        <v>10</v>
      </c>
    </row>
    <row r="10" spans="1:6" ht="19.95" customHeight="1" x14ac:dyDescent="0.3">
      <c r="A10" s="7" t="s">
        <v>8</v>
      </c>
      <c r="B10" s="7" t="s">
        <v>15</v>
      </c>
      <c r="C10" s="8">
        <v>13</v>
      </c>
      <c r="D10" s="9">
        <v>0.45</v>
      </c>
      <c r="E10" s="9">
        <f t="shared" si="0"/>
        <v>5.8500000000000005</v>
      </c>
      <c r="F10" s="7" t="s">
        <v>10</v>
      </c>
    </row>
    <row r="11" spans="1:6" ht="19.95" customHeight="1" x14ac:dyDescent="0.3">
      <c r="A11" s="4" t="s">
        <v>8</v>
      </c>
      <c r="B11" s="4" t="s">
        <v>16</v>
      </c>
      <c r="C11" s="5">
        <v>21</v>
      </c>
      <c r="D11" s="6">
        <v>0.5</v>
      </c>
      <c r="E11" s="6">
        <f t="shared" si="0"/>
        <v>10.5</v>
      </c>
      <c r="F11" s="4" t="s">
        <v>10</v>
      </c>
    </row>
    <row r="12" spans="1:6" ht="19.95" customHeight="1" x14ac:dyDescent="0.3">
      <c r="A12" s="7" t="s">
        <v>8</v>
      </c>
      <c r="B12" s="7" t="s">
        <v>17</v>
      </c>
      <c r="C12" s="8">
        <v>26</v>
      </c>
      <c r="D12" s="9">
        <v>0.6</v>
      </c>
      <c r="E12" s="9">
        <f t="shared" si="0"/>
        <v>15.6</v>
      </c>
      <c r="F12" s="7" t="s">
        <v>10</v>
      </c>
    </row>
    <row r="13" spans="1:6" ht="19.95" customHeight="1" x14ac:dyDescent="0.3">
      <c r="A13" s="4" t="s">
        <v>8</v>
      </c>
      <c r="B13" s="4" t="s">
        <v>18</v>
      </c>
      <c r="C13" s="5">
        <v>7</v>
      </c>
      <c r="D13" s="6">
        <v>0.8</v>
      </c>
      <c r="E13" s="6">
        <f t="shared" si="0"/>
        <v>5.6000000000000005</v>
      </c>
      <c r="F13" s="4" t="s">
        <v>10</v>
      </c>
    </row>
    <row r="14" spans="1:6" ht="19.95" customHeight="1" x14ac:dyDescent="0.3">
      <c r="A14" s="7" t="s">
        <v>8</v>
      </c>
      <c r="B14" s="7" t="s">
        <v>19</v>
      </c>
      <c r="C14" s="8">
        <v>5</v>
      </c>
      <c r="D14" s="9">
        <v>0.5</v>
      </c>
      <c r="E14" s="9">
        <f t="shared" si="0"/>
        <v>2.5</v>
      </c>
      <c r="F14" s="7" t="s">
        <v>10</v>
      </c>
    </row>
    <row r="15" spans="1:6" ht="19.95" customHeight="1" x14ac:dyDescent="0.3">
      <c r="A15" s="4" t="s">
        <v>8</v>
      </c>
      <c r="B15" s="4" t="s">
        <v>20</v>
      </c>
      <c r="C15" s="5">
        <v>2</v>
      </c>
      <c r="D15" s="6">
        <v>0.7</v>
      </c>
      <c r="E15" s="6">
        <f t="shared" si="0"/>
        <v>1.4</v>
      </c>
      <c r="F15" s="4" t="s">
        <v>10</v>
      </c>
    </row>
    <row r="16" spans="1:6" ht="19.95" customHeight="1" x14ac:dyDescent="0.3">
      <c r="A16" s="7" t="s">
        <v>8</v>
      </c>
      <c r="B16" s="7" t="s">
        <v>21</v>
      </c>
      <c r="C16" s="8">
        <v>2</v>
      </c>
      <c r="D16" s="9">
        <v>0.9</v>
      </c>
      <c r="E16" s="9">
        <f t="shared" si="0"/>
        <v>1.8</v>
      </c>
      <c r="F16" s="7" t="s">
        <v>10</v>
      </c>
    </row>
    <row r="17" spans="1:6" ht="19.95" customHeight="1" x14ac:dyDescent="0.3">
      <c r="A17" s="4" t="s">
        <v>8</v>
      </c>
      <c r="B17" s="4" t="s">
        <v>22</v>
      </c>
      <c r="C17" s="5">
        <v>2</v>
      </c>
      <c r="D17" s="6">
        <v>1.2</v>
      </c>
      <c r="E17" s="6">
        <f t="shared" si="0"/>
        <v>2.4</v>
      </c>
      <c r="F17" s="4" t="s">
        <v>10</v>
      </c>
    </row>
    <row r="18" spans="1:6" ht="19.95" customHeight="1" x14ac:dyDescent="0.3">
      <c r="A18" s="7" t="s">
        <v>8</v>
      </c>
      <c r="B18" s="7" t="s">
        <v>23</v>
      </c>
      <c r="C18" s="8">
        <v>20</v>
      </c>
      <c r="D18" s="9">
        <v>0.7</v>
      </c>
      <c r="E18" s="9">
        <f t="shared" si="0"/>
        <v>14</v>
      </c>
      <c r="F18" s="7" t="s">
        <v>10</v>
      </c>
    </row>
    <row r="19" spans="1:6" ht="19.95" customHeight="1" x14ac:dyDescent="0.3">
      <c r="A19" s="4" t="s">
        <v>8</v>
      </c>
      <c r="B19" s="4" t="s">
        <v>24</v>
      </c>
      <c r="C19" s="5">
        <v>10</v>
      </c>
      <c r="D19" s="6">
        <v>0.9</v>
      </c>
      <c r="E19" s="6">
        <f t="shared" si="0"/>
        <v>9</v>
      </c>
      <c r="F19" s="4" t="s">
        <v>10</v>
      </c>
    </row>
    <row r="20" spans="1:6" ht="19.95" customHeight="1" x14ac:dyDescent="0.3">
      <c r="A20" s="7" t="s">
        <v>25</v>
      </c>
      <c r="B20" s="7" t="s">
        <v>26</v>
      </c>
      <c r="C20" s="8">
        <v>2</v>
      </c>
      <c r="D20" s="9">
        <v>2.5</v>
      </c>
      <c r="E20" s="9">
        <f t="shared" si="0"/>
        <v>5</v>
      </c>
      <c r="F20" s="7" t="s">
        <v>27</v>
      </c>
    </row>
    <row r="21" spans="1:6" ht="19.95" customHeight="1" x14ac:dyDescent="0.3">
      <c r="A21" s="4" t="s">
        <v>25</v>
      </c>
      <c r="B21" s="4" t="s">
        <v>28</v>
      </c>
      <c r="C21" s="5">
        <v>4</v>
      </c>
      <c r="D21" s="6">
        <v>1</v>
      </c>
      <c r="E21" s="6">
        <f t="shared" si="0"/>
        <v>4</v>
      </c>
      <c r="F21" s="4" t="s">
        <v>29</v>
      </c>
    </row>
    <row r="22" spans="1:6" ht="19.95" customHeight="1" x14ac:dyDescent="0.3">
      <c r="A22" s="7" t="s">
        <v>30</v>
      </c>
      <c r="B22" s="7" t="s">
        <v>31</v>
      </c>
      <c r="C22" s="8">
        <v>2</v>
      </c>
      <c r="D22" s="9">
        <v>0.4</v>
      </c>
      <c r="E22" s="9">
        <f t="shared" si="0"/>
        <v>0.8</v>
      </c>
      <c r="F22" s="7" t="s">
        <v>32</v>
      </c>
    </row>
    <row r="23" spans="1:6" ht="19.95" customHeight="1" x14ac:dyDescent="0.3">
      <c r="A23" s="4" t="s">
        <v>30</v>
      </c>
      <c r="B23" s="4" t="s">
        <v>33</v>
      </c>
      <c r="C23" s="5">
        <v>66</v>
      </c>
      <c r="D23" s="6">
        <v>0.3</v>
      </c>
      <c r="E23" s="6">
        <f t="shared" si="0"/>
        <v>19.8</v>
      </c>
      <c r="F23" s="4" t="s">
        <v>34</v>
      </c>
    </row>
    <row r="24" spans="1:6" ht="19.95" customHeight="1" x14ac:dyDescent="0.3">
      <c r="A24" s="7" t="s">
        <v>30</v>
      </c>
      <c r="B24" s="7" t="s">
        <v>35</v>
      </c>
      <c r="C24" s="8">
        <v>22</v>
      </c>
      <c r="D24" s="9">
        <v>0.6</v>
      </c>
      <c r="E24" s="9">
        <f t="shared" si="0"/>
        <v>13.2</v>
      </c>
      <c r="F24" s="7" t="s">
        <v>32</v>
      </c>
    </row>
    <row r="25" spans="1:6" ht="19.95" customHeight="1" x14ac:dyDescent="0.3">
      <c r="A25" s="4" t="s">
        <v>30</v>
      </c>
      <c r="B25" s="4" t="s">
        <v>36</v>
      </c>
      <c r="C25" s="5">
        <v>10</v>
      </c>
      <c r="D25" s="6">
        <v>0.4</v>
      </c>
      <c r="E25" s="6">
        <f t="shared" si="0"/>
        <v>4</v>
      </c>
      <c r="F25" s="4" t="s">
        <v>37</v>
      </c>
    </row>
    <row r="26" spans="1:6" ht="19.95" customHeight="1" x14ac:dyDescent="0.3">
      <c r="A26" s="7" t="s">
        <v>38</v>
      </c>
      <c r="B26" s="7" t="s">
        <v>39</v>
      </c>
      <c r="C26" s="8">
        <v>5</v>
      </c>
      <c r="D26" s="9">
        <v>0.15</v>
      </c>
      <c r="E26" s="9">
        <f t="shared" si="0"/>
        <v>0.75</v>
      </c>
      <c r="F26" s="7" t="s">
        <v>40</v>
      </c>
    </row>
    <row r="27" spans="1:6" ht="19.95" customHeight="1" x14ac:dyDescent="0.3">
      <c r="A27" s="4" t="s">
        <v>38</v>
      </c>
      <c r="B27" s="4" t="s">
        <v>41</v>
      </c>
      <c r="C27" s="5">
        <v>18</v>
      </c>
      <c r="D27" s="6">
        <v>0.25</v>
      </c>
      <c r="E27" s="6">
        <f t="shared" si="0"/>
        <v>4.5</v>
      </c>
      <c r="F27" s="4" t="s">
        <v>40</v>
      </c>
    </row>
    <row r="28" spans="1:6" ht="19.95" customHeight="1" x14ac:dyDescent="0.3">
      <c r="A28" s="7" t="s">
        <v>42</v>
      </c>
      <c r="B28" s="7" t="s">
        <v>43</v>
      </c>
      <c r="C28" s="8">
        <v>2</v>
      </c>
      <c r="D28" s="9">
        <v>45</v>
      </c>
      <c r="E28" s="9">
        <f t="shared" si="0"/>
        <v>90</v>
      </c>
      <c r="F28" s="7" t="s">
        <v>44</v>
      </c>
    </row>
    <row r="29" spans="1:6" ht="19.95" customHeight="1" x14ac:dyDescent="0.3">
      <c r="A29" s="4" t="s">
        <v>42</v>
      </c>
      <c r="B29" s="4" t="s">
        <v>45</v>
      </c>
      <c r="C29" s="5">
        <v>3</v>
      </c>
      <c r="D29" s="6">
        <v>28</v>
      </c>
      <c r="E29" s="6">
        <f t="shared" si="0"/>
        <v>84</v>
      </c>
      <c r="F29" s="4" t="s">
        <v>44</v>
      </c>
    </row>
    <row r="30" spans="1:6" ht="19.95" customHeight="1" x14ac:dyDescent="0.3">
      <c r="A30" s="7" t="s">
        <v>42</v>
      </c>
      <c r="B30" s="7" t="s">
        <v>46</v>
      </c>
      <c r="C30" s="8">
        <v>2</v>
      </c>
      <c r="D30" s="9">
        <v>24</v>
      </c>
      <c r="E30" s="9">
        <f t="shared" si="0"/>
        <v>48</v>
      </c>
      <c r="F30" s="7" t="s">
        <v>44</v>
      </c>
    </row>
    <row r="31" spans="1:6" ht="19.95" customHeight="1" x14ac:dyDescent="0.3">
      <c r="A31" s="4" t="s">
        <v>42</v>
      </c>
      <c r="B31" s="4" t="s">
        <v>47</v>
      </c>
      <c r="C31" s="5">
        <v>1</v>
      </c>
      <c r="D31" s="6">
        <v>45</v>
      </c>
      <c r="E31" s="6">
        <f t="shared" si="0"/>
        <v>45</v>
      </c>
      <c r="F31" s="4" t="s">
        <v>48</v>
      </c>
    </row>
    <row r="32" spans="1:6" ht="19.95" customHeight="1" x14ac:dyDescent="0.3">
      <c r="A32" s="7" t="s">
        <v>42</v>
      </c>
      <c r="B32" s="7" t="s">
        <v>49</v>
      </c>
      <c r="C32" s="8">
        <v>8</v>
      </c>
      <c r="D32" s="9">
        <v>4.5</v>
      </c>
      <c r="E32" s="9">
        <f t="shared" si="0"/>
        <v>36</v>
      </c>
      <c r="F32" s="7" t="s">
        <v>50</v>
      </c>
    </row>
    <row r="33" spans="1:6" ht="19.95" customHeight="1" x14ac:dyDescent="0.3">
      <c r="A33" s="4" t="s">
        <v>51</v>
      </c>
      <c r="B33" s="4" t="s">
        <v>52</v>
      </c>
      <c r="C33" s="5">
        <v>4</v>
      </c>
      <c r="D33" s="6">
        <v>14</v>
      </c>
      <c r="E33" s="6">
        <f t="shared" si="0"/>
        <v>56</v>
      </c>
      <c r="F33" s="4" t="s">
        <v>53</v>
      </c>
    </row>
    <row r="34" spans="1:6" ht="19.95" customHeight="1" x14ac:dyDescent="0.3">
      <c r="A34" s="7" t="s">
        <v>51</v>
      </c>
      <c r="B34" s="7" t="s">
        <v>54</v>
      </c>
      <c r="C34" s="8">
        <v>2</v>
      </c>
      <c r="D34" s="9">
        <v>12</v>
      </c>
      <c r="E34" s="9">
        <f t="shared" si="0"/>
        <v>24</v>
      </c>
      <c r="F34" s="7" t="s">
        <v>55</v>
      </c>
    </row>
    <row r="35" spans="1:6" ht="19.95" customHeight="1" x14ac:dyDescent="0.3">
      <c r="A35" s="4" t="s">
        <v>51</v>
      </c>
      <c r="B35" s="4" t="s">
        <v>56</v>
      </c>
      <c r="C35" s="5">
        <v>6</v>
      </c>
      <c r="D35" s="6">
        <v>7.5</v>
      </c>
      <c r="E35" s="6">
        <f t="shared" si="0"/>
        <v>45</v>
      </c>
      <c r="F35" s="4" t="s">
        <v>57</v>
      </c>
    </row>
    <row r="36" spans="1:6" ht="19.95" customHeight="1" x14ac:dyDescent="0.3">
      <c r="A36" s="7" t="s">
        <v>51</v>
      </c>
      <c r="B36" s="7" t="s">
        <v>58</v>
      </c>
      <c r="C36" s="8">
        <v>4</v>
      </c>
      <c r="D36" s="9">
        <v>15</v>
      </c>
      <c r="E36" s="9">
        <f t="shared" si="0"/>
        <v>60</v>
      </c>
      <c r="F36" s="7" t="s">
        <v>59</v>
      </c>
    </row>
    <row r="37" spans="1:6" ht="19.95" customHeight="1" x14ac:dyDescent="0.3">
      <c r="A37" s="4" t="s">
        <v>51</v>
      </c>
      <c r="B37" s="4" t="s">
        <v>60</v>
      </c>
      <c r="C37" s="5">
        <v>6</v>
      </c>
      <c r="D37" s="6">
        <v>16</v>
      </c>
      <c r="E37" s="6">
        <f t="shared" ref="E37:E68" si="1">C37*D37</f>
        <v>96</v>
      </c>
      <c r="F37" s="4" t="s">
        <v>61</v>
      </c>
    </row>
    <row r="38" spans="1:6" ht="19.95" customHeight="1" x14ac:dyDescent="0.3">
      <c r="A38" s="7" t="s">
        <v>51</v>
      </c>
      <c r="B38" s="7" t="s">
        <v>62</v>
      </c>
      <c r="C38" s="8">
        <v>1</v>
      </c>
      <c r="D38" s="9">
        <v>14</v>
      </c>
      <c r="E38" s="9">
        <f t="shared" si="1"/>
        <v>14</v>
      </c>
      <c r="F38" s="7" t="s">
        <v>63</v>
      </c>
    </row>
    <row r="39" spans="1:6" ht="19.95" customHeight="1" x14ac:dyDescent="0.3">
      <c r="A39" s="4" t="s">
        <v>51</v>
      </c>
      <c r="B39" s="4" t="s">
        <v>64</v>
      </c>
      <c r="C39" s="5">
        <v>2</v>
      </c>
      <c r="D39" s="6">
        <v>22</v>
      </c>
      <c r="E39" s="6">
        <f t="shared" si="1"/>
        <v>44</v>
      </c>
      <c r="F39" s="4" t="s">
        <v>65</v>
      </c>
    </row>
    <row r="40" spans="1:6" ht="19.95" customHeight="1" x14ac:dyDescent="0.3">
      <c r="A40" s="7" t="s">
        <v>51</v>
      </c>
      <c r="B40" s="7" t="s">
        <v>66</v>
      </c>
      <c r="C40" s="8">
        <v>6</v>
      </c>
      <c r="D40" s="9">
        <v>9</v>
      </c>
      <c r="E40" s="9">
        <f t="shared" si="1"/>
        <v>54</v>
      </c>
      <c r="F40" s="7" t="s">
        <v>67</v>
      </c>
    </row>
    <row r="41" spans="1:6" ht="19.95" customHeight="1" x14ac:dyDescent="0.3">
      <c r="A41" s="4" t="s">
        <v>51</v>
      </c>
      <c r="B41" s="4" t="s">
        <v>68</v>
      </c>
      <c r="C41" s="5">
        <v>1</v>
      </c>
      <c r="D41" s="6">
        <v>18</v>
      </c>
      <c r="E41" s="6">
        <f t="shared" si="1"/>
        <v>18</v>
      </c>
      <c r="F41" s="4" t="s">
        <v>69</v>
      </c>
    </row>
    <row r="42" spans="1:6" ht="19.95" customHeight="1" x14ac:dyDescent="0.3">
      <c r="A42" s="7" t="s">
        <v>51</v>
      </c>
      <c r="B42" s="7" t="s">
        <v>70</v>
      </c>
      <c r="C42" s="8">
        <v>1</v>
      </c>
      <c r="D42" s="9">
        <v>15</v>
      </c>
      <c r="E42" s="9">
        <f t="shared" si="1"/>
        <v>15</v>
      </c>
      <c r="F42" s="7" t="s">
        <v>71</v>
      </c>
    </row>
    <row r="43" spans="1:6" ht="19.95" customHeight="1" x14ac:dyDescent="0.3">
      <c r="A43" s="4" t="s">
        <v>51</v>
      </c>
      <c r="B43" s="4" t="s">
        <v>72</v>
      </c>
      <c r="C43" s="5">
        <v>6</v>
      </c>
      <c r="D43" s="6">
        <v>4</v>
      </c>
      <c r="E43" s="6">
        <f t="shared" si="1"/>
        <v>24</v>
      </c>
      <c r="F43" s="4" t="s">
        <v>73</v>
      </c>
    </row>
    <row r="44" spans="1:6" ht="19.95" customHeight="1" x14ac:dyDescent="0.3">
      <c r="A44" s="7" t="s">
        <v>51</v>
      </c>
      <c r="B44" s="7" t="s">
        <v>74</v>
      </c>
      <c r="C44" s="8">
        <v>2</v>
      </c>
      <c r="D44" s="9">
        <v>5</v>
      </c>
      <c r="E44" s="9">
        <f t="shared" si="1"/>
        <v>10</v>
      </c>
      <c r="F44" s="7" t="s">
        <v>75</v>
      </c>
    </row>
    <row r="45" spans="1:6" ht="19.95" customHeight="1" x14ac:dyDescent="0.3">
      <c r="A45" s="4" t="s">
        <v>51</v>
      </c>
      <c r="B45" s="4" t="s">
        <v>76</v>
      </c>
      <c r="C45" s="5">
        <v>2</v>
      </c>
      <c r="D45" s="6">
        <v>9</v>
      </c>
      <c r="E45" s="6">
        <f t="shared" si="1"/>
        <v>18</v>
      </c>
      <c r="F45" s="4" t="s">
        <v>77</v>
      </c>
    </row>
    <row r="46" spans="1:6" ht="19.95" customHeight="1" x14ac:dyDescent="0.3">
      <c r="A46" s="7" t="s">
        <v>51</v>
      </c>
      <c r="B46" s="7" t="s">
        <v>78</v>
      </c>
      <c r="C46" s="8">
        <v>2</v>
      </c>
      <c r="D46" s="9">
        <v>10</v>
      </c>
      <c r="E46" s="9">
        <f t="shared" si="1"/>
        <v>20</v>
      </c>
      <c r="F46" s="7" t="s">
        <v>79</v>
      </c>
    </row>
    <row r="47" spans="1:6" ht="19.95" customHeight="1" x14ac:dyDescent="0.3">
      <c r="A47" s="4" t="s">
        <v>51</v>
      </c>
      <c r="B47" s="4" t="s">
        <v>80</v>
      </c>
      <c r="C47" s="5">
        <v>1</v>
      </c>
      <c r="D47" s="6">
        <v>3.5</v>
      </c>
      <c r="E47" s="6">
        <f t="shared" si="1"/>
        <v>3.5</v>
      </c>
      <c r="F47" s="4" t="s">
        <v>81</v>
      </c>
    </row>
    <row r="48" spans="1:6" ht="19.95" customHeight="1" x14ac:dyDescent="0.3">
      <c r="A48" s="7" t="s">
        <v>51</v>
      </c>
      <c r="B48" s="7" t="s">
        <v>82</v>
      </c>
      <c r="C48" s="8">
        <v>1</v>
      </c>
      <c r="D48" s="9">
        <v>15</v>
      </c>
      <c r="E48" s="9">
        <f t="shared" si="1"/>
        <v>15</v>
      </c>
      <c r="F48" s="7" t="s">
        <v>83</v>
      </c>
    </row>
    <row r="49" spans="1:6" ht="19.95" customHeight="1" x14ac:dyDescent="0.3">
      <c r="A49" s="4" t="s">
        <v>84</v>
      </c>
      <c r="B49" s="4" t="s">
        <v>85</v>
      </c>
      <c r="C49" s="5">
        <v>4</v>
      </c>
      <c r="D49" s="6">
        <v>65</v>
      </c>
      <c r="E49" s="6">
        <f t="shared" si="1"/>
        <v>260</v>
      </c>
      <c r="F49" s="4" t="s">
        <v>86</v>
      </c>
    </row>
    <row r="50" spans="1:6" ht="19.95" customHeight="1" x14ac:dyDescent="0.3">
      <c r="A50" s="7" t="s">
        <v>84</v>
      </c>
      <c r="B50" s="7" t="s">
        <v>87</v>
      </c>
      <c r="C50" s="8">
        <v>1</v>
      </c>
      <c r="D50" s="9">
        <v>28</v>
      </c>
      <c r="E50" s="9">
        <f t="shared" si="1"/>
        <v>28</v>
      </c>
      <c r="F50" s="7" t="s">
        <v>88</v>
      </c>
    </row>
    <row r="51" spans="1:6" ht="19.95" customHeight="1" x14ac:dyDescent="0.3">
      <c r="A51" s="4" t="s">
        <v>84</v>
      </c>
      <c r="B51" s="4" t="s">
        <v>89</v>
      </c>
      <c r="C51" s="5">
        <v>3</v>
      </c>
      <c r="D51" s="6">
        <v>5</v>
      </c>
      <c r="E51" s="6">
        <f t="shared" si="1"/>
        <v>15</v>
      </c>
      <c r="F51" s="4" t="s">
        <v>90</v>
      </c>
    </row>
    <row r="52" spans="1:6" ht="19.95" customHeight="1" x14ac:dyDescent="0.3">
      <c r="A52" s="7" t="s">
        <v>84</v>
      </c>
      <c r="B52" s="7" t="s">
        <v>91</v>
      </c>
      <c r="C52" s="8">
        <v>1</v>
      </c>
      <c r="D52" s="9">
        <v>45</v>
      </c>
      <c r="E52" s="9">
        <f t="shared" si="1"/>
        <v>45</v>
      </c>
      <c r="F52" s="7" t="s">
        <v>92</v>
      </c>
    </row>
    <row r="53" spans="1:6" ht="19.95" customHeight="1" x14ac:dyDescent="0.3">
      <c r="A53" s="4" t="s">
        <v>84</v>
      </c>
      <c r="B53" s="4" t="s">
        <v>93</v>
      </c>
      <c r="C53" s="5">
        <v>1</v>
      </c>
      <c r="D53" s="6">
        <v>24</v>
      </c>
      <c r="E53" s="6">
        <f t="shared" si="1"/>
        <v>24</v>
      </c>
      <c r="F53" s="4" t="s">
        <v>94</v>
      </c>
    </row>
    <row r="54" spans="1:6" ht="19.95" customHeight="1" x14ac:dyDescent="0.3">
      <c r="A54" s="7" t="s">
        <v>84</v>
      </c>
      <c r="B54" s="7" t="s">
        <v>95</v>
      </c>
      <c r="C54" s="8">
        <v>1</v>
      </c>
      <c r="D54" s="9">
        <v>24</v>
      </c>
      <c r="E54" s="9">
        <f t="shared" si="1"/>
        <v>24</v>
      </c>
      <c r="F54" s="7" t="s">
        <v>94</v>
      </c>
    </row>
    <row r="55" spans="1:6" ht="19.95" customHeight="1" x14ac:dyDescent="0.3">
      <c r="A55" s="4" t="s">
        <v>84</v>
      </c>
      <c r="B55" s="4" t="s">
        <v>96</v>
      </c>
      <c r="C55" s="5">
        <v>1</v>
      </c>
      <c r="D55" s="6">
        <v>260</v>
      </c>
      <c r="E55" s="6">
        <f t="shared" si="1"/>
        <v>260</v>
      </c>
      <c r="F55" s="4" t="s">
        <v>97</v>
      </c>
    </row>
    <row r="56" spans="1:6" ht="19.95" customHeight="1" x14ac:dyDescent="0.3">
      <c r="A56" s="7" t="s">
        <v>84</v>
      </c>
      <c r="B56" s="7" t="s">
        <v>98</v>
      </c>
      <c r="C56" s="8">
        <v>1</v>
      </c>
      <c r="D56" s="9">
        <v>12</v>
      </c>
      <c r="E56" s="9">
        <f t="shared" si="1"/>
        <v>12</v>
      </c>
      <c r="F56" s="7" t="s">
        <v>99</v>
      </c>
    </row>
    <row r="57" spans="1:6" ht="19.95" customHeight="1" x14ac:dyDescent="0.3">
      <c r="A57" s="4" t="s">
        <v>84</v>
      </c>
      <c r="B57" s="4" t="s">
        <v>100</v>
      </c>
      <c r="C57" s="5">
        <v>1</v>
      </c>
      <c r="D57" s="6">
        <v>15</v>
      </c>
      <c r="E57" s="6">
        <f t="shared" si="1"/>
        <v>15</v>
      </c>
      <c r="F57" s="4" t="s">
        <v>101</v>
      </c>
    </row>
    <row r="58" spans="1:6" ht="19.95" customHeight="1" x14ac:dyDescent="0.3">
      <c r="A58" s="7" t="s">
        <v>84</v>
      </c>
      <c r="B58" s="7" t="s">
        <v>102</v>
      </c>
      <c r="C58" s="8">
        <v>1</v>
      </c>
      <c r="D58" s="9">
        <v>18</v>
      </c>
      <c r="E58" s="9">
        <f t="shared" si="1"/>
        <v>18</v>
      </c>
      <c r="F58" s="7" t="s">
        <v>103</v>
      </c>
    </row>
    <row r="59" spans="1:6" ht="19.95" customHeight="1" x14ac:dyDescent="0.3">
      <c r="A59" s="4" t="s">
        <v>84</v>
      </c>
      <c r="B59" s="4" t="s">
        <v>104</v>
      </c>
      <c r="C59" s="5">
        <v>1</v>
      </c>
      <c r="D59" s="6">
        <v>35</v>
      </c>
      <c r="E59" s="6">
        <f t="shared" si="1"/>
        <v>35</v>
      </c>
      <c r="F59" s="4" t="s">
        <v>105</v>
      </c>
    </row>
    <row r="60" spans="1:6" ht="19.95" customHeight="1" x14ac:dyDescent="0.3">
      <c r="A60" s="7" t="s">
        <v>84</v>
      </c>
      <c r="B60" s="7" t="s">
        <v>106</v>
      </c>
      <c r="C60" s="8">
        <v>8</v>
      </c>
      <c r="D60" s="9">
        <v>6</v>
      </c>
      <c r="E60" s="9">
        <f t="shared" si="1"/>
        <v>48</v>
      </c>
      <c r="F60" s="7" t="s">
        <v>107</v>
      </c>
    </row>
    <row r="61" spans="1:6" ht="19.95" customHeight="1" x14ac:dyDescent="0.3">
      <c r="A61" s="4" t="s">
        <v>84</v>
      </c>
      <c r="B61" s="4" t="s">
        <v>108</v>
      </c>
      <c r="C61" s="5">
        <v>1</v>
      </c>
      <c r="D61" s="6">
        <v>12</v>
      </c>
      <c r="E61" s="6">
        <f t="shared" si="1"/>
        <v>12</v>
      </c>
      <c r="F61" s="4" t="s">
        <v>109</v>
      </c>
    </row>
    <row r="62" spans="1:6" ht="19.95" customHeight="1" x14ac:dyDescent="0.3">
      <c r="A62" s="7" t="s">
        <v>84</v>
      </c>
      <c r="B62" s="7" t="s">
        <v>110</v>
      </c>
      <c r="C62" s="8">
        <v>16</v>
      </c>
      <c r="D62" s="9">
        <v>8</v>
      </c>
      <c r="E62" s="9">
        <f t="shared" si="1"/>
        <v>128</v>
      </c>
      <c r="F62" s="7" t="s">
        <v>111</v>
      </c>
    </row>
    <row r="63" spans="1:6" ht="19.95" customHeight="1" x14ac:dyDescent="0.3">
      <c r="A63" s="4" t="s">
        <v>84</v>
      </c>
      <c r="B63" s="4" t="s">
        <v>112</v>
      </c>
      <c r="C63" s="5">
        <v>1</v>
      </c>
      <c r="D63" s="6">
        <v>280</v>
      </c>
      <c r="E63" s="6">
        <f t="shared" si="1"/>
        <v>280</v>
      </c>
      <c r="F63" s="4" t="s">
        <v>113</v>
      </c>
    </row>
    <row r="64" spans="1:6" ht="19.95" customHeight="1" x14ac:dyDescent="0.3">
      <c r="A64" s="7" t="s">
        <v>84</v>
      </c>
      <c r="B64" s="7" t="s">
        <v>114</v>
      </c>
      <c r="C64" s="8">
        <v>1</v>
      </c>
      <c r="D64" s="9">
        <v>95</v>
      </c>
      <c r="E64" s="9">
        <f t="shared" si="1"/>
        <v>95</v>
      </c>
      <c r="F64" s="7" t="s">
        <v>115</v>
      </c>
    </row>
    <row r="65" spans="1:6" ht="19.95" customHeight="1" x14ac:dyDescent="0.3">
      <c r="A65" s="4" t="s">
        <v>116</v>
      </c>
      <c r="B65" s="4" t="s">
        <v>117</v>
      </c>
      <c r="C65" s="5">
        <v>1</v>
      </c>
      <c r="D65" s="6">
        <v>8</v>
      </c>
      <c r="E65" s="6">
        <f t="shared" si="1"/>
        <v>8</v>
      </c>
      <c r="F65" s="4" t="s">
        <v>118</v>
      </c>
    </row>
    <row r="66" spans="1:6" ht="19.95" customHeight="1" x14ac:dyDescent="0.3">
      <c r="A66" s="7" t="s">
        <v>116</v>
      </c>
      <c r="B66" s="7" t="s">
        <v>119</v>
      </c>
      <c r="C66" s="8">
        <v>10</v>
      </c>
      <c r="D66" s="9">
        <v>2.5</v>
      </c>
      <c r="E66" s="9">
        <f t="shared" si="1"/>
        <v>25</v>
      </c>
      <c r="F66" s="7" t="s">
        <v>120</v>
      </c>
    </row>
    <row r="67" spans="1:6" ht="19.95" customHeight="1" x14ac:dyDescent="0.3">
      <c r="A67" s="4" t="s">
        <v>116</v>
      </c>
      <c r="B67" s="4" t="s">
        <v>121</v>
      </c>
      <c r="C67" s="5">
        <v>3</v>
      </c>
      <c r="D67" s="6">
        <v>4.5</v>
      </c>
      <c r="E67" s="6">
        <f t="shared" si="1"/>
        <v>13.5</v>
      </c>
      <c r="F67" s="4" t="s">
        <v>122</v>
      </c>
    </row>
    <row r="68" spans="1:6" ht="19.95" customHeight="1" x14ac:dyDescent="0.3">
      <c r="A68" s="7" t="s">
        <v>116</v>
      </c>
      <c r="B68" s="7" t="s">
        <v>123</v>
      </c>
      <c r="C68" s="8">
        <v>2</v>
      </c>
      <c r="D68" s="9">
        <v>4</v>
      </c>
      <c r="E68" s="9">
        <f t="shared" si="1"/>
        <v>8</v>
      </c>
      <c r="F68" s="7" t="s">
        <v>124</v>
      </c>
    </row>
    <row r="69" spans="1:6" ht="19.95" customHeight="1" x14ac:dyDescent="0.3">
      <c r="A69" s="4" t="s">
        <v>116</v>
      </c>
      <c r="B69" s="4" t="s">
        <v>125</v>
      </c>
      <c r="C69" s="5">
        <v>1</v>
      </c>
      <c r="D69" s="6">
        <v>55</v>
      </c>
      <c r="E69" s="6">
        <f t="shared" ref="E69:E100" si="2">C69*D69</f>
        <v>55</v>
      </c>
      <c r="F69" s="4" t="s">
        <v>126</v>
      </c>
    </row>
    <row r="70" spans="1:6" ht="24" customHeight="1" x14ac:dyDescent="0.3">
      <c r="A70" s="10" t="s">
        <v>127</v>
      </c>
      <c r="B70" s="11"/>
      <c r="C70" s="11"/>
      <c r="D70" s="11"/>
      <c r="E70" s="12">
        <f>SUM(E5:E69)</f>
        <v>2365.5</v>
      </c>
      <c r="F70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30" customWidth="1"/>
    <col min="2" max="2" width="25" customWidth="1"/>
    <col min="3" max="3" width="18" customWidth="1"/>
  </cols>
  <sheetData>
    <row r="1" spans="1:3" ht="21" x14ac:dyDescent="0.4">
      <c r="A1" s="1" t="s">
        <v>128</v>
      </c>
    </row>
    <row r="3" spans="1:3" ht="25.05" customHeight="1" x14ac:dyDescent="0.3">
      <c r="A3" s="3" t="s">
        <v>129</v>
      </c>
      <c r="B3" s="3" t="s">
        <v>6</v>
      </c>
      <c r="C3" s="3" t="s">
        <v>130</v>
      </c>
    </row>
    <row r="4" spans="1:3" x14ac:dyDescent="0.3">
      <c r="A4" s="4" t="s">
        <v>8</v>
      </c>
      <c r="B4" s="6">
        <f>SUMIF('Orçamento Detalhado'!A$5:A$69, A4, 'Orçamento Detalhado'!E$5:E$69)</f>
        <v>85.449999999999989</v>
      </c>
      <c r="C4" s="13">
        <f>B4/B12</f>
        <v>3.6123441132952856E-2</v>
      </c>
    </row>
    <row r="5" spans="1:3" x14ac:dyDescent="0.3">
      <c r="A5" s="4" t="s">
        <v>25</v>
      </c>
      <c r="B5" s="6">
        <f>SUMIF('Orçamento Detalhado'!A$5:A$69, A5, 'Orçamento Detalhado'!E$5:E$69)</f>
        <v>9</v>
      </c>
      <c r="C5" s="13">
        <f>B5/B12</f>
        <v>3.8046924540266328E-3</v>
      </c>
    </row>
    <row r="6" spans="1:3" x14ac:dyDescent="0.3">
      <c r="A6" s="4" t="s">
        <v>30</v>
      </c>
      <c r="B6" s="6">
        <f>SUMIF('Orçamento Detalhado'!A$5:A$69, A6, 'Orçamento Detalhado'!E$5:E$69)</f>
        <v>37.799999999999997</v>
      </c>
      <c r="C6" s="13">
        <f>B6/B12</f>
        <v>1.5979708306911856E-2</v>
      </c>
    </row>
    <row r="7" spans="1:3" x14ac:dyDescent="0.3">
      <c r="A7" s="4" t="s">
        <v>38</v>
      </c>
      <c r="B7" s="6">
        <f>SUMIF('Orçamento Detalhado'!A$5:A$69, A7, 'Orçamento Detalhado'!E$5:E$69)</f>
        <v>5.25</v>
      </c>
      <c r="C7" s="13">
        <f>B7/B12</f>
        <v>2.2194039315155357E-3</v>
      </c>
    </row>
    <row r="8" spans="1:3" x14ac:dyDescent="0.3">
      <c r="A8" s="4" t="s">
        <v>42</v>
      </c>
      <c r="B8" s="6">
        <f>SUMIF('Orçamento Detalhado'!A$5:A$69, A8, 'Orçamento Detalhado'!E$5:E$69)</f>
        <v>303</v>
      </c>
      <c r="C8" s="13">
        <f>B8/B12</f>
        <v>0.12809131261889664</v>
      </c>
    </row>
    <row r="9" spans="1:3" x14ac:dyDescent="0.3">
      <c r="A9" s="4" t="s">
        <v>51</v>
      </c>
      <c r="B9" s="6">
        <f>SUMIF('Orçamento Detalhado'!A$5:A$69, A9, 'Orçamento Detalhado'!E$5:E$69)</f>
        <v>516.5</v>
      </c>
      <c r="C9" s="13">
        <f>B9/B12</f>
        <v>0.21834707250052843</v>
      </c>
    </row>
    <row r="10" spans="1:3" x14ac:dyDescent="0.3">
      <c r="A10" s="4" t="s">
        <v>84</v>
      </c>
      <c r="B10" s="6">
        <f>SUMIF('Orçamento Detalhado'!A$5:A$69, A10, 'Orçamento Detalhado'!E$5:E$69)</f>
        <v>1299</v>
      </c>
      <c r="C10" s="13">
        <f>B10/B12</f>
        <v>0.54914394419784396</v>
      </c>
    </row>
    <row r="11" spans="1:3" x14ac:dyDescent="0.3">
      <c r="A11" s="4" t="s">
        <v>116</v>
      </c>
      <c r="B11" s="6">
        <f>SUMIF('Orçamento Detalhado'!A$5:A$69, A11, 'Orçamento Detalhado'!E$5:E$69)</f>
        <v>109.5</v>
      </c>
      <c r="C11" s="13">
        <f>B11/B12</f>
        <v>4.6290424857324035E-2</v>
      </c>
    </row>
    <row r="12" spans="1:3" x14ac:dyDescent="0.3">
      <c r="A12" s="10" t="s">
        <v>131</v>
      </c>
      <c r="B12" s="12">
        <f>SUM(B4:B11)</f>
        <v>2365.5</v>
      </c>
      <c r="C12" s="14">
        <f>SUM(C4:C11)</f>
        <v>0.99999999999999989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 Detalhado</vt:lpstr>
      <vt:lpstr>Resumo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Aditiv Lab</cp:lastModifiedBy>
  <dcterms:created xsi:type="dcterms:W3CDTF">2026-08-26T17:01:04Z</dcterms:created>
  <dcterms:modified xsi:type="dcterms:W3CDTF">2026-08-26T17:05:34Z</dcterms:modified>
</cp:coreProperties>
</file>