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holas\Desktop\Desenvolvimento_de_Impressora-3D-FFF-Open_Source-RepRap-_para_Odontologia_Digital\INVENTARIO DE PECAS\"/>
    </mc:Choice>
  </mc:AlternateContent>
  <xr:revisionPtr revIDLastSave="0" documentId="8_{74E10ED6-7AE2-4220-835A-6092A271680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nilha1" sheetId="1" r:id="rId1"/>
    <sheet name="Planilha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1" i="3" l="1"/>
  <c r="G82" i="1"/>
  <c r="G6" i="1"/>
  <c r="G7" i="1"/>
  <c r="G5" i="1"/>
  <c r="G4" i="1"/>
  <c r="G3" i="1"/>
  <c r="G8" i="1"/>
  <c r="G9" i="1"/>
  <c r="G10" i="1"/>
  <c r="G11" i="1"/>
  <c r="G12" i="1"/>
  <c r="G13" i="1"/>
  <c r="G14" i="1"/>
  <c r="G15" i="1"/>
  <c r="G16" i="1"/>
  <c r="G17" i="1"/>
  <c r="G18" i="1"/>
  <c r="G20" i="1"/>
  <c r="G21" i="1"/>
  <c r="G32" i="1"/>
  <c r="G33" i="1"/>
  <c r="G51" i="1"/>
  <c r="G52" i="1"/>
  <c r="G43" i="1"/>
  <c r="G83" i="1"/>
  <c r="G84" i="1"/>
  <c r="G85" i="1"/>
  <c r="G86" i="1"/>
  <c r="G87" i="1"/>
  <c r="G89" i="1"/>
  <c r="G90" i="1"/>
  <c r="G81" i="1" l="1"/>
  <c r="G44" i="1"/>
  <c r="E79" i="1"/>
  <c r="G79" i="1" s="1"/>
  <c r="G75" i="1"/>
  <c r="G80" i="1"/>
  <c r="G67" i="1"/>
  <c r="G63" i="1"/>
  <c r="G61" i="1"/>
  <c r="G62" i="1"/>
  <c r="G56" i="1"/>
  <c r="G55" i="1"/>
  <c r="G53" i="1"/>
  <c r="G50" i="1"/>
  <c r="G54" i="1"/>
  <c r="G60" i="1"/>
  <c r="G59" i="1"/>
  <c r="G58" i="1"/>
  <c r="G57" i="1"/>
  <c r="G46" i="1"/>
  <c r="E31" i="1"/>
  <c r="G31" i="1" s="1"/>
  <c r="E25" i="1"/>
  <c r="G25" i="1" s="1"/>
  <c r="E29" i="1"/>
  <c r="G29" i="1" s="1"/>
  <c r="E30" i="1"/>
  <c r="E27" i="1"/>
  <c r="G27" i="1" s="1"/>
  <c r="E24" i="1"/>
  <c r="G24" i="1" s="1"/>
  <c r="E26" i="1"/>
  <c r="G39" i="1"/>
  <c r="G40" i="1"/>
  <c r="G41" i="1"/>
  <c r="G45" i="1"/>
  <c r="G47" i="1"/>
  <c r="G48" i="1"/>
  <c r="G65" i="1"/>
  <c r="G71" i="1"/>
  <c r="G72" i="1"/>
  <c r="G73" i="1"/>
  <c r="G74" i="1"/>
  <c r="G78" i="1"/>
  <c r="E28" i="1"/>
  <c r="G28" i="1" s="1"/>
  <c r="E37" i="1"/>
  <c r="G37" i="1" s="1"/>
  <c r="E35" i="1"/>
  <c r="E38" i="1"/>
  <c r="G38" i="1" s="1"/>
  <c r="E36" i="1"/>
  <c r="B35" i="1"/>
  <c r="B36" i="1"/>
  <c r="B30" i="1"/>
  <c r="B26" i="1"/>
  <c r="G35" i="1" l="1"/>
  <c r="G30" i="1"/>
  <c r="G36" i="1"/>
  <c r="G26" i="1"/>
  <c r="G92" i="1" l="1"/>
  <c r="G95" i="1" s="1"/>
</calcChain>
</file>

<file path=xl/sharedStrings.xml><?xml version="1.0" encoding="utf-8"?>
<sst xmlns="http://schemas.openxmlformats.org/spreadsheetml/2006/main" count="243" uniqueCount="99">
  <si>
    <t>Parafuso M3 10mm (allen)</t>
  </si>
  <si>
    <t>Parafuso M3 15 mm (allen)</t>
  </si>
  <si>
    <t>Parafuso M3 25 mm (allen)</t>
  </si>
  <si>
    <t>Parafuso M3 40 mm (allen)</t>
  </si>
  <si>
    <t>Parafuso M4 12 mm (allen)</t>
  </si>
  <si>
    <t>Parafuso M4 15 mm (allen)</t>
  </si>
  <si>
    <t>Parafuso M4 CABEÇA CHATA 30mm</t>
  </si>
  <si>
    <t>Parafuso M5 CABEÇA CHATA 30mm</t>
  </si>
  <si>
    <t>Parafuso M5 CABEÇA CHATA 45mm</t>
  </si>
  <si>
    <t>Parafuso M2 16 mm(allen)</t>
  </si>
  <si>
    <t>Parafuso M2 20 mm(allen)</t>
  </si>
  <si>
    <t>PARAFUSOS</t>
  </si>
  <si>
    <t>PORCAS</t>
  </si>
  <si>
    <t>Porca M2</t>
  </si>
  <si>
    <t>Porca M2 TRAVANTE</t>
  </si>
  <si>
    <t>Porca M3</t>
  </si>
  <si>
    <t>Parafuso M3 20 mm (allen)</t>
  </si>
  <si>
    <t>Porca M3 TRAVANTE</t>
  </si>
  <si>
    <t>Porca M3 QUADRADA</t>
  </si>
  <si>
    <t>Porca M5 TRAVANTE</t>
  </si>
  <si>
    <t>ARRUELA</t>
  </si>
  <si>
    <t>Eixo 8 mm/ 250 mm comprimento</t>
  </si>
  <si>
    <t>Parafuso TR8 293 mm (ou 300mm)</t>
  </si>
  <si>
    <t>MOTOR DE PASSO</t>
  </si>
  <si>
    <t>pillow block sc8uu</t>
  </si>
  <si>
    <t>Macal kfl08</t>
  </si>
  <si>
    <t>lmk12uu</t>
  </si>
  <si>
    <t>castanha para fuso eixo Z Screw Shaft ϕ8, 278mm (lead of the twist 4)</t>
  </si>
  <si>
    <t>rolamento 625</t>
  </si>
  <si>
    <t xml:space="preserve"> </t>
  </si>
  <si>
    <t>rolamento mr105zz</t>
  </si>
  <si>
    <t>dentes feed MK8 drive gear</t>
  </si>
  <si>
    <t>M2</t>
  </si>
  <si>
    <t>M3</t>
  </si>
  <si>
    <t>M4</t>
  </si>
  <si>
    <t>M5</t>
  </si>
  <si>
    <t>colarinho fixaçao  eixo z  12x8x20</t>
  </si>
  <si>
    <t>ok</t>
  </si>
  <si>
    <t>OK</t>
  </si>
  <si>
    <t>custo unid</t>
  </si>
  <si>
    <t>Porca M4 TRAVANTE</t>
  </si>
  <si>
    <t>correia eixo Y_ GT-2 belt, 2 mm pitch, 6 mm width (50 cm)</t>
  </si>
  <si>
    <t>Eixo 12 mm / 350mm comprimento</t>
  </si>
  <si>
    <t>Eixo 8 mm/ 300 mm comprimento</t>
  </si>
  <si>
    <t>impressão 16 horas</t>
  </si>
  <si>
    <t>TOTAL</t>
  </si>
  <si>
    <t>frame</t>
  </si>
  <si>
    <t xml:space="preserve">envio </t>
  </si>
  <si>
    <t>imposto</t>
  </si>
  <si>
    <t>filamento</t>
  </si>
  <si>
    <t>fonte 6a 12 v Modelo Número:YU1206</t>
  </si>
  <si>
    <t xml:space="preserve">femea P4  Conectores Jack Fêmea P4 5.5mm 2.1mm </t>
  </si>
  <si>
    <t>Parafuso M5 CABEÇA CHATA 20mm</t>
  </si>
  <si>
    <t>Porca M5 QUADRADA</t>
  </si>
  <si>
    <t>Parafuso M3 6mm (allen)</t>
  </si>
  <si>
    <t>Tinta preta  (splaycolor tinta spray automotivo 910)</t>
  </si>
  <si>
    <t>unid</t>
  </si>
  <si>
    <t>DOLAR</t>
  </si>
  <si>
    <t>REAL</t>
  </si>
  <si>
    <t>EURO</t>
  </si>
  <si>
    <t>custo total REAL</t>
  </si>
  <si>
    <t>MOEDA DA COMPRA</t>
  </si>
  <si>
    <t>Parafuso M3 30 mm (allen)</t>
  </si>
  <si>
    <t>manta magnética 0,8 sem adesivo (</t>
  </si>
  <si>
    <t>endstop 125AVC 2A (MODELO NO.MP2344_all)</t>
  </si>
  <si>
    <t>Connector kk 2,5 mm femea 2 vias (com connector metalico) 5.5x2.1 mm / 10A 100-220v</t>
  </si>
  <si>
    <t>probe LJ18A3-8-Z/BY (distancia 8mm )</t>
  </si>
  <si>
    <t>ESPASSADOR</t>
  </si>
  <si>
    <t>M3 DE COBRE COM 15MM DE CORPO E 5 MM DE ROSCA MACHO</t>
  </si>
  <si>
    <t>M3 DE NYLON 10 MM DE CORPO E 5 MM DE ROSCA MACHO</t>
  </si>
  <si>
    <t xml:space="preserve">eletronico skr mini e3 </t>
  </si>
  <si>
    <t>passador de fio (metro) ORGANIZADOR FIO ELETRICO</t>
  </si>
  <si>
    <t>optocoupler isolation mudule / pc817  el817 12v / operation current : more than 1mA /imput current  50mA / maximun signal frequency: 80KHz</t>
  </si>
  <si>
    <t>cooler 4010 Back Fan  12V 7500rpm</t>
  </si>
  <si>
    <t>cooler 3010 Back Fan  12V alta rotaçao 12000rpm</t>
  </si>
  <si>
    <t>acoplamento connector D20 L25 (8mm para 5mm) Alumino fino rigido (sem mola)</t>
  </si>
  <si>
    <t>polia gt2 _gt2 pulley 20 teeth bore 5mm (diametro externo 16mm)</t>
  </si>
  <si>
    <t>mola FIO 1.2 mm / diametro interno 5mm /altura 20-25 ou fio 1mm /diametro interno 5mm /altura 20</t>
  </si>
  <si>
    <t>fio 22 awg (CABOS GERAIS (preto amarelo branco e vermelho) / 17 AWG (CABO DE FORÇA) (preto e vermelho)</t>
  </si>
  <si>
    <r>
      <rPr>
        <u/>
        <sz val="11"/>
        <color theme="1"/>
        <rFont val="Calibri"/>
        <family val="2"/>
        <scheme val="minor"/>
      </rPr>
      <t>REFERÊNCIA</t>
    </r>
    <r>
      <rPr>
        <sz val="11"/>
        <color theme="1"/>
        <rFont val="Calibri"/>
        <family val="2"/>
        <scheme val="minor"/>
      </rPr>
      <t xml:space="preserve">
10 gauge wire – 30 amps
12 gauge wire – 20 amps
14 gauge wire – 15 amps
16 gauge wire – 10 amps
18 gauge wire – 7 amps
20 gauge wire – 3 amps (or slightly more)
22 gauge wire – 2 amps</t>
    </r>
  </si>
  <si>
    <t>rolamento LM12UU</t>
  </si>
  <si>
    <t>rolamento LM8UU</t>
  </si>
  <si>
    <t>rolamento LMK8UU com flange</t>
  </si>
  <si>
    <t>Suporte Eixo Guia Linear 8mm Shf8</t>
  </si>
  <si>
    <t>Kysan 1124090 ou 1.5A  1.7A / mínimo 4.2kg  4,5 Kg</t>
  </si>
  <si>
    <t>ROLAMENTOS E CORREIAS (marca IKO)</t>
  </si>
  <si>
    <t xml:space="preserve">graxa branca litio </t>
  </si>
  <si>
    <t>EIXOS (h7 com espessura de cromo MAIOR QUE 0.15mm preferencialmente)</t>
  </si>
  <si>
    <t>Sensor Indutivo M12 4mm Npn Na 3 Fios 5v Lj12a3-4-z/bx-5v</t>
  </si>
  <si>
    <t xml:space="preserve">Porca M5 </t>
  </si>
  <si>
    <t>Parafuso M5  20mm</t>
  </si>
  <si>
    <t>Parafuso M5 45mm</t>
  </si>
  <si>
    <t>Parafuso M3 18 mm (allen)</t>
  </si>
  <si>
    <t>Parafuso M5  30mm</t>
  </si>
  <si>
    <t>Parafuso M3 15mm (allen)</t>
  </si>
  <si>
    <t>Macal 12mm</t>
  </si>
  <si>
    <t>Stop eixo y 8mm</t>
  </si>
  <si>
    <t>Parafuso m4 CABEÇA CHATA 30mm</t>
  </si>
  <si>
    <t>Parafuso M3 10mm CABEÇA CHATA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</si>
</sst>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theme="0" tint="-4.9989318521683403E-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2" borderId="1" xfId="1" applyBorder="1" applyAlignment="1">
      <alignment horizontal="center"/>
    </xf>
    <xf numFmtId="0" fontId="3" fillId="3" borderId="2" xfId="0" quotePrefix="1" applyFont="1" applyFill="1" applyBorder="1" applyAlignment="1">
      <alignment horizontal="left" vertical="center" wrapText="1"/>
    </xf>
    <xf numFmtId="0" fontId="0" fillId="0" borderId="0" xfId="0" quotePrefix="1"/>
    <xf numFmtId="17" fontId="0" fillId="0" borderId="0" xfId="0" applyNumberFormat="1"/>
    <xf numFmtId="0" fontId="0" fillId="0" borderId="0" xfId="0" applyAlignment="1">
      <alignment wrapText="1"/>
    </xf>
  </cellXfs>
  <cellStyles count="2">
    <cellStyle name="Bom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5"/>
  <sheetViews>
    <sheetView topLeftCell="A49" zoomScaleNormal="100" workbookViewId="0">
      <selection activeCell="B1" sqref="B1:B1048576"/>
    </sheetView>
  </sheetViews>
  <sheetFormatPr defaultRowHeight="14.4" x14ac:dyDescent="0.3"/>
  <cols>
    <col min="1" max="1" width="85.5546875" customWidth="1"/>
    <col min="5" max="5" width="10.33203125" customWidth="1"/>
    <col min="6" max="6" width="20" customWidth="1"/>
    <col min="7" max="7" width="20.6640625" customWidth="1"/>
  </cols>
  <sheetData>
    <row r="1" spans="1:15" x14ac:dyDescent="0.3">
      <c r="B1" t="s">
        <v>56</v>
      </c>
      <c r="E1" t="s">
        <v>39</v>
      </c>
      <c r="F1" t="s">
        <v>61</v>
      </c>
      <c r="G1" t="s">
        <v>60</v>
      </c>
      <c r="M1" s="2" t="s">
        <v>57</v>
      </c>
      <c r="N1" s="2" t="s">
        <v>58</v>
      </c>
      <c r="O1" s="2" t="s">
        <v>59</v>
      </c>
    </row>
    <row r="2" spans="1:15" x14ac:dyDescent="0.3">
      <c r="A2" s="1" t="s">
        <v>11</v>
      </c>
      <c r="M2" s="2">
        <v>6</v>
      </c>
      <c r="N2" s="2">
        <v>1</v>
      </c>
      <c r="O2" s="2">
        <v>7</v>
      </c>
    </row>
    <row r="3" spans="1:15" x14ac:dyDescent="0.3">
      <c r="A3" t="s">
        <v>9</v>
      </c>
      <c r="B3">
        <v>2</v>
      </c>
      <c r="D3" t="s">
        <v>37</v>
      </c>
      <c r="E3">
        <v>1</v>
      </c>
      <c r="F3" s="3" t="s">
        <v>58</v>
      </c>
      <c r="G3" s="4">
        <f>IF(F3="DOLAR",B3*E3*M2,IF(F3="REAL",B3*E3*N2,B3*E3*O2))</f>
        <v>2</v>
      </c>
    </row>
    <row r="4" spans="1:15" x14ac:dyDescent="0.3">
      <c r="A4" t="s">
        <v>10</v>
      </c>
      <c r="B4">
        <v>4</v>
      </c>
      <c r="D4" t="s">
        <v>37</v>
      </c>
      <c r="E4">
        <v>1</v>
      </c>
      <c r="F4" s="3" t="s">
        <v>58</v>
      </c>
      <c r="G4" s="4">
        <f>IF(F4="DOLAR",B4*E4*M2,IF(F4="REAL",B4*E4*N2,B4*E4*O3))</f>
        <v>4</v>
      </c>
    </row>
    <row r="5" spans="1:15" x14ac:dyDescent="0.3">
      <c r="A5" t="s">
        <v>54</v>
      </c>
      <c r="B5">
        <v>6</v>
      </c>
      <c r="D5" t="s">
        <v>37</v>
      </c>
      <c r="E5">
        <v>1</v>
      </c>
      <c r="F5" s="3" t="s">
        <v>58</v>
      </c>
      <c r="G5" s="4">
        <f>IF(F5="DOLAR",B5*E5*M2,IF(F5="REAL",B5*E5*N2,B5*E5*O4))</f>
        <v>6</v>
      </c>
    </row>
    <row r="6" spans="1:15" x14ac:dyDescent="0.3">
      <c r="A6" t="s">
        <v>0</v>
      </c>
      <c r="B6">
        <v>24</v>
      </c>
      <c r="D6" t="s">
        <v>37</v>
      </c>
      <c r="E6">
        <v>1</v>
      </c>
      <c r="F6" s="3" t="s">
        <v>58</v>
      </c>
      <c r="G6">
        <f t="shared" ref="G6:G21" si="0">E6*B6</f>
        <v>24</v>
      </c>
    </row>
    <row r="7" spans="1:15" x14ac:dyDescent="0.3">
      <c r="A7" t="s">
        <v>1</v>
      </c>
      <c r="B7">
        <v>41</v>
      </c>
      <c r="D7" t="s">
        <v>37</v>
      </c>
      <c r="E7">
        <v>1</v>
      </c>
      <c r="F7" s="3" t="s">
        <v>58</v>
      </c>
      <c r="G7">
        <f t="shared" si="0"/>
        <v>41</v>
      </c>
    </row>
    <row r="8" spans="1:15" x14ac:dyDescent="0.3">
      <c r="A8" t="s">
        <v>16</v>
      </c>
      <c r="B8">
        <v>2</v>
      </c>
      <c r="D8" t="s">
        <v>37</v>
      </c>
      <c r="E8">
        <v>1</v>
      </c>
      <c r="F8" s="3" t="s">
        <v>58</v>
      </c>
      <c r="G8">
        <f t="shared" si="0"/>
        <v>2</v>
      </c>
    </row>
    <row r="9" spans="1:15" x14ac:dyDescent="0.3">
      <c r="A9" t="s">
        <v>2</v>
      </c>
      <c r="B9">
        <v>12</v>
      </c>
      <c r="D9" t="s">
        <v>37</v>
      </c>
      <c r="E9">
        <v>1</v>
      </c>
      <c r="F9" s="3" t="s">
        <v>58</v>
      </c>
      <c r="G9">
        <f t="shared" si="0"/>
        <v>12</v>
      </c>
    </row>
    <row r="10" spans="1:15" x14ac:dyDescent="0.3">
      <c r="A10" t="s">
        <v>62</v>
      </c>
      <c r="B10">
        <v>2</v>
      </c>
      <c r="E10">
        <v>1</v>
      </c>
      <c r="F10" s="3" t="s">
        <v>58</v>
      </c>
      <c r="G10">
        <f t="shared" si="0"/>
        <v>2</v>
      </c>
    </row>
    <row r="11" spans="1:15" x14ac:dyDescent="0.3">
      <c r="A11" t="s">
        <v>3</v>
      </c>
      <c r="B11">
        <v>7</v>
      </c>
      <c r="D11" t="s">
        <v>37</v>
      </c>
      <c r="E11">
        <v>1</v>
      </c>
      <c r="F11" s="3" t="s">
        <v>58</v>
      </c>
      <c r="G11">
        <f t="shared" si="0"/>
        <v>7</v>
      </c>
    </row>
    <row r="12" spans="1:15" x14ac:dyDescent="0.3">
      <c r="A12" t="s">
        <v>4</v>
      </c>
      <c r="B12">
        <v>16</v>
      </c>
      <c r="D12" t="s">
        <v>37</v>
      </c>
      <c r="E12">
        <v>1</v>
      </c>
      <c r="F12" s="3" t="s">
        <v>58</v>
      </c>
      <c r="G12">
        <f t="shared" si="0"/>
        <v>16</v>
      </c>
    </row>
    <row r="13" spans="1:15" x14ac:dyDescent="0.3">
      <c r="A13" t="s">
        <v>5</v>
      </c>
      <c r="B13">
        <v>4</v>
      </c>
      <c r="D13" t="s">
        <v>37</v>
      </c>
      <c r="E13">
        <v>1</v>
      </c>
      <c r="F13" s="3" t="s">
        <v>58</v>
      </c>
      <c r="G13">
        <f t="shared" si="0"/>
        <v>4</v>
      </c>
    </row>
    <row r="14" spans="1:15" x14ac:dyDescent="0.3">
      <c r="A14" t="s">
        <v>6</v>
      </c>
      <c r="B14">
        <v>18</v>
      </c>
      <c r="D14" t="s">
        <v>37</v>
      </c>
      <c r="E14">
        <v>1</v>
      </c>
      <c r="F14" s="3" t="s">
        <v>58</v>
      </c>
      <c r="G14">
        <f t="shared" si="0"/>
        <v>18</v>
      </c>
    </row>
    <row r="15" spans="1:15" x14ac:dyDescent="0.3">
      <c r="A15" t="s">
        <v>7</v>
      </c>
      <c r="B15">
        <v>10</v>
      </c>
      <c r="D15" t="s">
        <v>38</v>
      </c>
      <c r="E15">
        <v>1</v>
      </c>
      <c r="F15" s="3" t="s">
        <v>58</v>
      </c>
      <c r="G15">
        <f t="shared" si="0"/>
        <v>10</v>
      </c>
    </row>
    <row r="16" spans="1:15" x14ac:dyDescent="0.3">
      <c r="A16" t="s">
        <v>8</v>
      </c>
      <c r="B16">
        <v>3</v>
      </c>
      <c r="D16" t="s">
        <v>38</v>
      </c>
      <c r="E16">
        <v>1</v>
      </c>
      <c r="F16" s="3" t="s">
        <v>58</v>
      </c>
      <c r="G16">
        <f t="shared" si="0"/>
        <v>3</v>
      </c>
    </row>
    <row r="17" spans="1:7" x14ac:dyDescent="0.3">
      <c r="A17" t="s">
        <v>52</v>
      </c>
      <c r="B17">
        <v>3</v>
      </c>
      <c r="E17">
        <v>1</v>
      </c>
      <c r="F17" s="3" t="s">
        <v>58</v>
      </c>
      <c r="G17">
        <f t="shared" si="0"/>
        <v>3</v>
      </c>
    </row>
    <row r="18" spans="1:7" x14ac:dyDescent="0.3">
      <c r="F18" s="3" t="s">
        <v>58</v>
      </c>
      <c r="G18">
        <f t="shared" si="0"/>
        <v>0</v>
      </c>
    </row>
    <row r="19" spans="1:7" x14ac:dyDescent="0.3">
      <c r="A19" s="1" t="s">
        <v>67</v>
      </c>
      <c r="F19" s="3" t="s">
        <v>58</v>
      </c>
    </row>
    <row r="20" spans="1:7" x14ac:dyDescent="0.3">
      <c r="A20" t="s">
        <v>68</v>
      </c>
      <c r="B20">
        <v>2</v>
      </c>
      <c r="E20">
        <v>3.1</v>
      </c>
      <c r="F20" s="3" t="s">
        <v>58</v>
      </c>
      <c r="G20">
        <f t="shared" si="0"/>
        <v>6.2</v>
      </c>
    </row>
    <row r="21" spans="1:7" x14ac:dyDescent="0.3">
      <c r="A21" t="s">
        <v>69</v>
      </c>
      <c r="B21">
        <v>4</v>
      </c>
      <c r="E21">
        <v>1</v>
      </c>
      <c r="F21" s="3" t="s">
        <v>58</v>
      </c>
      <c r="G21">
        <f t="shared" si="0"/>
        <v>4</v>
      </c>
    </row>
    <row r="22" spans="1:7" x14ac:dyDescent="0.3">
      <c r="F22" s="3" t="s">
        <v>58</v>
      </c>
    </row>
    <row r="23" spans="1:7" x14ac:dyDescent="0.3">
      <c r="A23" s="1" t="s">
        <v>12</v>
      </c>
      <c r="F23" s="3" t="s">
        <v>58</v>
      </c>
    </row>
    <row r="24" spans="1:7" x14ac:dyDescent="0.3">
      <c r="A24" t="s">
        <v>13</v>
      </c>
      <c r="B24">
        <v>2</v>
      </c>
      <c r="D24" t="s">
        <v>38</v>
      </c>
      <c r="E24">
        <f>4.11/100</f>
        <v>4.1100000000000005E-2</v>
      </c>
      <c r="F24" s="3" t="s">
        <v>57</v>
      </c>
      <c r="G24">
        <f>E24*B24</f>
        <v>8.2200000000000009E-2</v>
      </c>
    </row>
    <row r="25" spans="1:7" x14ac:dyDescent="0.3">
      <c r="A25" t="s">
        <v>14</v>
      </c>
      <c r="B25">
        <v>2</v>
      </c>
      <c r="D25" t="s">
        <v>38</v>
      </c>
      <c r="E25">
        <f>5.34/100</f>
        <v>5.3399999999999996E-2</v>
      </c>
      <c r="F25" s="3" t="s">
        <v>57</v>
      </c>
      <c r="G25">
        <f>E25*B25</f>
        <v>0.10679999999999999</v>
      </c>
    </row>
    <row r="26" spans="1:7" x14ac:dyDescent="0.3">
      <c r="A26" t="s">
        <v>15</v>
      </c>
      <c r="B26">
        <f>1+2+2+8</f>
        <v>13</v>
      </c>
      <c r="D26" t="s">
        <v>38</v>
      </c>
      <c r="E26">
        <f>7.86/100</f>
        <v>7.8600000000000003E-2</v>
      </c>
      <c r="F26" s="3" t="s">
        <v>57</v>
      </c>
      <c r="G26">
        <f t="shared" ref="G26:G33" si="1">E26*B26</f>
        <v>1.0218</v>
      </c>
    </row>
    <row r="27" spans="1:7" x14ac:dyDescent="0.3">
      <c r="A27" t="s">
        <v>17</v>
      </c>
      <c r="B27">
        <v>2</v>
      </c>
      <c r="D27" t="s">
        <v>38</v>
      </c>
      <c r="E27">
        <f>2.41/20</f>
        <v>0.12050000000000001</v>
      </c>
      <c r="F27" s="3" t="s">
        <v>57</v>
      </c>
      <c r="G27">
        <f t="shared" si="1"/>
        <v>0.24100000000000002</v>
      </c>
    </row>
    <row r="28" spans="1:7" x14ac:dyDescent="0.3">
      <c r="A28" t="s">
        <v>18</v>
      </c>
      <c r="B28">
        <v>3</v>
      </c>
      <c r="D28" t="s">
        <v>38</v>
      </c>
      <c r="E28">
        <f>4.11/50</f>
        <v>8.2200000000000009E-2</v>
      </c>
      <c r="F28" s="3" t="s">
        <v>57</v>
      </c>
      <c r="G28">
        <f t="shared" si="1"/>
        <v>0.24660000000000004</v>
      </c>
    </row>
    <row r="29" spans="1:7" x14ac:dyDescent="0.3">
      <c r="A29" t="s">
        <v>40</v>
      </c>
      <c r="B29">
        <v>18</v>
      </c>
      <c r="D29" t="s">
        <v>38</v>
      </c>
      <c r="E29">
        <f>5.34/20</f>
        <v>0.26700000000000002</v>
      </c>
      <c r="F29" s="3" t="s">
        <v>57</v>
      </c>
      <c r="G29">
        <f t="shared" si="1"/>
        <v>4.806</v>
      </c>
    </row>
    <row r="30" spans="1:7" x14ac:dyDescent="0.3">
      <c r="A30" t="s">
        <v>19</v>
      </c>
      <c r="B30">
        <f>10+3</f>
        <v>13</v>
      </c>
      <c r="D30" t="s">
        <v>38</v>
      </c>
      <c r="E30">
        <f>6.68/20</f>
        <v>0.33399999999999996</v>
      </c>
      <c r="F30" s="3" t="s">
        <v>57</v>
      </c>
      <c r="G30">
        <f t="shared" si="1"/>
        <v>4.3419999999999996</v>
      </c>
    </row>
    <row r="31" spans="1:7" x14ac:dyDescent="0.3">
      <c r="A31" t="s">
        <v>53</v>
      </c>
      <c r="E31">
        <f>15.37/100</f>
        <v>0.1537</v>
      </c>
      <c r="F31" s="3" t="s">
        <v>57</v>
      </c>
      <c r="G31">
        <f t="shared" si="1"/>
        <v>0</v>
      </c>
    </row>
    <row r="32" spans="1:7" x14ac:dyDescent="0.3">
      <c r="F32" s="3"/>
      <c r="G32">
        <f t="shared" si="1"/>
        <v>0</v>
      </c>
    </row>
    <row r="33" spans="1:8" x14ac:dyDescent="0.3">
      <c r="F33" s="3"/>
      <c r="G33">
        <f t="shared" si="1"/>
        <v>0</v>
      </c>
    </row>
    <row r="34" spans="1:8" x14ac:dyDescent="0.3">
      <c r="A34" s="1" t="s">
        <v>20</v>
      </c>
      <c r="F34" s="3"/>
    </row>
    <row r="35" spans="1:8" x14ac:dyDescent="0.3">
      <c r="A35" t="s">
        <v>32</v>
      </c>
      <c r="B35">
        <f>SUM(B3,B4)</f>
        <v>6</v>
      </c>
      <c r="D35" t="s">
        <v>37</v>
      </c>
      <c r="E35">
        <f>3.72/100</f>
        <v>3.7200000000000004E-2</v>
      </c>
      <c r="F35" s="3" t="s">
        <v>57</v>
      </c>
      <c r="G35">
        <f>E35*B35</f>
        <v>0.22320000000000001</v>
      </c>
    </row>
    <row r="36" spans="1:8" x14ac:dyDescent="0.3">
      <c r="A36" t="s">
        <v>33</v>
      </c>
      <c r="B36">
        <f>SUM(B6:B7,B8,B9,B11)</f>
        <v>86</v>
      </c>
      <c r="D36" t="s">
        <v>37</v>
      </c>
      <c r="E36">
        <f>3.27/100</f>
        <v>3.27E-2</v>
      </c>
      <c r="F36" s="3" t="s">
        <v>57</v>
      </c>
      <c r="G36">
        <f t="shared" ref="G36:G41" si="2">E36*B36</f>
        <v>2.8121999999999998</v>
      </c>
    </row>
    <row r="37" spans="1:8" x14ac:dyDescent="0.3">
      <c r="A37" t="s">
        <v>34</v>
      </c>
      <c r="B37">
        <v>38</v>
      </c>
      <c r="D37" t="s">
        <v>37</v>
      </c>
      <c r="E37">
        <f>5.61/100</f>
        <v>5.6100000000000004E-2</v>
      </c>
      <c r="F37" s="3" t="s">
        <v>57</v>
      </c>
      <c r="G37">
        <f t="shared" si="2"/>
        <v>2.1318000000000001</v>
      </c>
    </row>
    <row r="38" spans="1:8" x14ac:dyDescent="0.3">
      <c r="A38" t="s">
        <v>35</v>
      </c>
      <c r="B38">
        <v>13</v>
      </c>
      <c r="D38" t="s">
        <v>37</v>
      </c>
      <c r="E38">
        <f>7.47/100</f>
        <v>7.4700000000000003E-2</v>
      </c>
      <c r="F38" s="3" t="s">
        <v>57</v>
      </c>
      <c r="G38">
        <f t="shared" si="2"/>
        <v>0.97110000000000007</v>
      </c>
    </row>
    <row r="39" spans="1:8" x14ac:dyDescent="0.3">
      <c r="F39" s="3"/>
      <c r="G39">
        <f t="shared" si="2"/>
        <v>0</v>
      </c>
    </row>
    <row r="40" spans="1:8" x14ac:dyDescent="0.3">
      <c r="F40" s="3"/>
      <c r="G40">
        <f t="shared" si="2"/>
        <v>0</v>
      </c>
    </row>
    <row r="41" spans="1:8" x14ac:dyDescent="0.3">
      <c r="F41" s="3"/>
      <c r="G41">
        <f t="shared" si="2"/>
        <v>0</v>
      </c>
    </row>
    <row r="42" spans="1:8" x14ac:dyDescent="0.3">
      <c r="A42" s="1" t="s">
        <v>87</v>
      </c>
      <c r="F42" s="3"/>
    </row>
    <row r="43" spans="1:8" x14ac:dyDescent="0.3">
      <c r="A43" t="s">
        <v>42</v>
      </c>
      <c r="B43">
        <v>3</v>
      </c>
      <c r="D43" t="s">
        <v>37</v>
      </c>
      <c r="E43">
        <v>47</v>
      </c>
      <c r="F43" s="3" t="s">
        <v>58</v>
      </c>
      <c r="G43">
        <f>E43*B43</f>
        <v>141</v>
      </c>
      <c r="H43" s="5">
        <v>44317</v>
      </c>
    </row>
    <row r="44" spans="1:8" x14ac:dyDescent="0.3">
      <c r="A44" t="s">
        <v>43</v>
      </c>
      <c r="B44">
        <v>3</v>
      </c>
      <c r="D44" t="s">
        <v>37</v>
      </c>
      <c r="E44">
        <v>22.5</v>
      </c>
      <c r="F44" s="3" t="s">
        <v>58</v>
      </c>
      <c r="G44">
        <f t="shared" ref="G44:G48" si="3">E44*B44</f>
        <v>67.5</v>
      </c>
    </row>
    <row r="45" spans="1:8" x14ac:dyDescent="0.3">
      <c r="A45" t="s">
        <v>21</v>
      </c>
      <c r="B45">
        <v>2</v>
      </c>
      <c r="D45" t="s">
        <v>37</v>
      </c>
      <c r="E45">
        <v>20</v>
      </c>
      <c r="F45" s="3" t="s">
        <v>58</v>
      </c>
      <c r="G45">
        <f t="shared" si="3"/>
        <v>40</v>
      </c>
    </row>
    <row r="46" spans="1:8" x14ac:dyDescent="0.3">
      <c r="A46" t="s">
        <v>22</v>
      </c>
      <c r="B46">
        <v>1</v>
      </c>
      <c r="E46">
        <v>56</v>
      </c>
      <c r="F46" s="3" t="s">
        <v>58</v>
      </c>
      <c r="G46">
        <f t="shared" si="3"/>
        <v>56</v>
      </c>
    </row>
    <row r="47" spans="1:8" x14ac:dyDescent="0.3">
      <c r="F47" s="3" t="s">
        <v>58</v>
      </c>
      <c r="G47">
        <f t="shared" si="3"/>
        <v>0</v>
      </c>
    </row>
    <row r="48" spans="1:8" x14ac:dyDescent="0.3">
      <c r="F48" s="3" t="s">
        <v>58</v>
      </c>
      <c r="G48">
        <f t="shared" si="3"/>
        <v>0</v>
      </c>
    </row>
    <row r="49" spans="1:8" x14ac:dyDescent="0.3">
      <c r="A49" s="1" t="s">
        <v>85</v>
      </c>
      <c r="B49" t="s">
        <v>29</v>
      </c>
      <c r="F49" s="3" t="s">
        <v>58</v>
      </c>
    </row>
    <row r="50" spans="1:8" x14ac:dyDescent="0.3">
      <c r="A50" t="s">
        <v>24</v>
      </c>
      <c r="B50">
        <v>4</v>
      </c>
      <c r="E50">
        <v>19.5</v>
      </c>
      <c r="F50" s="3" t="s">
        <v>58</v>
      </c>
      <c r="G50">
        <f t="shared" ref="G50:G65" si="4">E50*B50</f>
        <v>78</v>
      </c>
    </row>
    <row r="51" spans="1:8" x14ac:dyDescent="0.3">
      <c r="A51" t="s">
        <v>80</v>
      </c>
      <c r="B51">
        <v>4</v>
      </c>
      <c r="E51">
        <v>11.41</v>
      </c>
      <c r="F51" s="3" t="s">
        <v>58</v>
      </c>
      <c r="G51">
        <f t="shared" ref="G51" si="5">E51*B51</f>
        <v>45.64</v>
      </c>
      <c r="H51" s="5">
        <v>44317</v>
      </c>
    </row>
    <row r="52" spans="1:8" x14ac:dyDescent="0.3">
      <c r="A52" t="s">
        <v>81</v>
      </c>
      <c r="B52">
        <v>1</v>
      </c>
      <c r="E52">
        <v>11.5</v>
      </c>
      <c r="F52" s="3" t="s">
        <v>58</v>
      </c>
      <c r="G52">
        <f t="shared" si="4"/>
        <v>11.5</v>
      </c>
      <c r="H52" s="5">
        <v>44317</v>
      </c>
    </row>
    <row r="53" spans="1:8" x14ac:dyDescent="0.3">
      <c r="A53" t="s">
        <v>82</v>
      </c>
      <c r="B53">
        <v>4</v>
      </c>
      <c r="E53">
        <v>26.75</v>
      </c>
      <c r="F53" s="3" t="s">
        <v>58</v>
      </c>
      <c r="G53">
        <f t="shared" si="4"/>
        <v>107</v>
      </c>
    </row>
    <row r="54" spans="1:8" x14ac:dyDescent="0.3">
      <c r="A54" t="s">
        <v>25</v>
      </c>
      <c r="B54">
        <v>1</v>
      </c>
      <c r="E54">
        <v>14.25</v>
      </c>
      <c r="F54" s="3" t="s">
        <v>58</v>
      </c>
      <c r="G54">
        <f t="shared" si="4"/>
        <v>14.25</v>
      </c>
    </row>
    <row r="55" spans="1:8" x14ac:dyDescent="0.3">
      <c r="A55" t="s">
        <v>26</v>
      </c>
      <c r="B55">
        <v>2</v>
      </c>
      <c r="E55">
        <v>30.75</v>
      </c>
      <c r="F55" s="3" t="s">
        <v>58</v>
      </c>
      <c r="G55">
        <f t="shared" si="4"/>
        <v>61.5</v>
      </c>
    </row>
    <row r="56" spans="1:8" x14ac:dyDescent="0.3">
      <c r="A56" t="s">
        <v>83</v>
      </c>
      <c r="B56">
        <v>6</v>
      </c>
      <c r="E56">
        <v>13</v>
      </c>
      <c r="F56" s="3" t="s">
        <v>58</v>
      </c>
      <c r="G56">
        <f t="shared" si="4"/>
        <v>78</v>
      </c>
    </row>
    <row r="57" spans="1:8" x14ac:dyDescent="0.3">
      <c r="A57" t="s">
        <v>75</v>
      </c>
      <c r="B57">
        <v>1</v>
      </c>
      <c r="E57">
        <v>19.100000000000001</v>
      </c>
      <c r="F57" s="3" t="s">
        <v>58</v>
      </c>
      <c r="G57">
        <f t="shared" si="4"/>
        <v>19.100000000000001</v>
      </c>
    </row>
    <row r="58" spans="1:8" x14ac:dyDescent="0.3">
      <c r="A58" t="s">
        <v>27</v>
      </c>
      <c r="B58">
        <v>1</v>
      </c>
      <c r="E58">
        <v>17.7</v>
      </c>
      <c r="F58" s="3"/>
      <c r="G58">
        <f t="shared" si="4"/>
        <v>17.7</v>
      </c>
    </row>
    <row r="59" spans="1:8" x14ac:dyDescent="0.3">
      <c r="A59" t="s">
        <v>30</v>
      </c>
      <c r="B59">
        <v>6</v>
      </c>
      <c r="E59">
        <v>5</v>
      </c>
      <c r="F59" s="3"/>
      <c r="G59">
        <f t="shared" si="4"/>
        <v>30</v>
      </c>
    </row>
    <row r="60" spans="1:8" x14ac:dyDescent="0.3">
      <c r="A60" t="s">
        <v>28</v>
      </c>
      <c r="B60">
        <v>2</v>
      </c>
      <c r="E60">
        <v>5</v>
      </c>
      <c r="F60" s="3"/>
      <c r="G60">
        <f t="shared" si="4"/>
        <v>10</v>
      </c>
    </row>
    <row r="61" spans="1:8" x14ac:dyDescent="0.3">
      <c r="A61" t="s">
        <v>76</v>
      </c>
      <c r="B61">
        <v>2</v>
      </c>
      <c r="E61">
        <v>12.46</v>
      </c>
      <c r="F61" s="3"/>
      <c r="G61">
        <f t="shared" si="4"/>
        <v>24.92</v>
      </c>
    </row>
    <row r="62" spans="1:8" x14ac:dyDescent="0.3">
      <c r="A62" t="s">
        <v>41</v>
      </c>
      <c r="B62">
        <v>2</v>
      </c>
      <c r="E62">
        <v>9.5</v>
      </c>
      <c r="F62" s="3"/>
      <c r="G62">
        <f t="shared" si="4"/>
        <v>19</v>
      </c>
    </row>
    <row r="63" spans="1:8" x14ac:dyDescent="0.3">
      <c r="A63" t="s">
        <v>77</v>
      </c>
      <c r="B63">
        <v>1</v>
      </c>
      <c r="E63">
        <v>13.9</v>
      </c>
      <c r="F63" s="3"/>
      <c r="G63">
        <f t="shared" si="4"/>
        <v>13.9</v>
      </c>
    </row>
    <row r="64" spans="1:8" x14ac:dyDescent="0.3">
      <c r="A64" t="s">
        <v>86</v>
      </c>
      <c r="F64" s="3"/>
    </row>
    <row r="65" spans="1:7" x14ac:dyDescent="0.3">
      <c r="F65" s="3"/>
      <c r="G65">
        <f t="shared" si="4"/>
        <v>0</v>
      </c>
    </row>
    <row r="66" spans="1:7" x14ac:dyDescent="0.3">
      <c r="A66" s="1" t="s">
        <v>23</v>
      </c>
      <c r="F66" s="3"/>
    </row>
    <row r="67" spans="1:7" x14ac:dyDescent="0.3">
      <c r="A67" t="s">
        <v>84</v>
      </c>
      <c r="B67">
        <v>4</v>
      </c>
      <c r="E67">
        <v>80</v>
      </c>
      <c r="F67" s="3"/>
      <c r="G67">
        <f t="shared" ref="G67:G75" si="6">E67*B67</f>
        <v>320</v>
      </c>
    </row>
    <row r="68" spans="1:7" x14ac:dyDescent="0.3">
      <c r="F68" s="3"/>
    </row>
    <row r="69" spans="1:7" ht="28.8" x14ac:dyDescent="0.3">
      <c r="A69" s="6" t="s">
        <v>72</v>
      </c>
      <c r="F69" s="3"/>
    </row>
    <row r="70" spans="1:7" x14ac:dyDescent="0.3">
      <c r="A70" t="s">
        <v>64</v>
      </c>
      <c r="E70">
        <v>5.6</v>
      </c>
      <c r="F70" s="3"/>
    </row>
    <row r="71" spans="1:7" x14ac:dyDescent="0.3">
      <c r="A71" t="s">
        <v>63</v>
      </c>
      <c r="B71">
        <v>1</v>
      </c>
      <c r="E71">
        <v>10</v>
      </c>
      <c r="F71" s="3" t="s">
        <v>58</v>
      </c>
      <c r="G71">
        <f t="shared" si="6"/>
        <v>10</v>
      </c>
    </row>
    <row r="72" spans="1:7" x14ac:dyDescent="0.3">
      <c r="A72" t="s">
        <v>55</v>
      </c>
      <c r="E72">
        <v>25</v>
      </c>
      <c r="F72" s="3"/>
      <c r="G72">
        <f t="shared" si="6"/>
        <v>0</v>
      </c>
    </row>
    <row r="73" spans="1:7" x14ac:dyDescent="0.3">
      <c r="A73" t="s">
        <v>55</v>
      </c>
      <c r="B73">
        <v>1</v>
      </c>
      <c r="E73">
        <v>89</v>
      </c>
      <c r="F73" s="3"/>
      <c r="G73">
        <f t="shared" si="6"/>
        <v>89</v>
      </c>
    </row>
    <row r="74" spans="1:7" x14ac:dyDescent="0.3">
      <c r="A74" t="s">
        <v>70</v>
      </c>
      <c r="B74">
        <v>1</v>
      </c>
      <c r="E74">
        <v>210</v>
      </c>
      <c r="F74" s="3"/>
      <c r="G74">
        <f t="shared" si="6"/>
        <v>210</v>
      </c>
    </row>
    <row r="75" spans="1:7" x14ac:dyDescent="0.3">
      <c r="A75" t="s">
        <v>31</v>
      </c>
      <c r="B75">
        <v>1</v>
      </c>
      <c r="E75">
        <v>23.4</v>
      </c>
      <c r="F75" s="3"/>
      <c r="G75">
        <f t="shared" si="6"/>
        <v>23.4</v>
      </c>
    </row>
    <row r="76" spans="1:7" x14ac:dyDescent="0.3">
      <c r="A76" t="s">
        <v>74</v>
      </c>
      <c r="F76" s="3"/>
    </row>
    <row r="77" spans="1:7" x14ac:dyDescent="0.3">
      <c r="A77" t="s">
        <v>73</v>
      </c>
      <c r="B77">
        <v>1</v>
      </c>
      <c r="E77">
        <v>13</v>
      </c>
      <c r="F77" s="3"/>
    </row>
    <row r="78" spans="1:7" x14ac:dyDescent="0.3">
      <c r="A78" t="s">
        <v>66</v>
      </c>
      <c r="B78">
        <v>1</v>
      </c>
      <c r="E78">
        <v>40</v>
      </c>
      <c r="F78" s="3"/>
      <c r="G78">
        <f t="shared" ref="G78:G90" si="7">E78*B78</f>
        <v>40</v>
      </c>
    </row>
    <row r="79" spans="1:7" x14ac:dyDescent="0.3">
      <c r="A79" t="s">
        <v>36</v>
      </c>
      <c r="B79">
        <v>8</v>
      </c>
      <c r="E79">
        <f>15.72/5</f>
        <v>3.1440000000000001</v>
      </c>
      <c r="F79" s="3"/>
      <c r="G79">
        <f t="shared" si="7"/>
        <v>25.152000000000001</v>
      </c>
    </row>
    <row r="80" spans="1:7" x14ac:dyDescent="0.3">
      <c r="A80" t="s">
        <v>71</v>
      </c>
      <c r="B80">
        <v>1</v>
      </c>
      <c r="E80">
        <v>14.5</v>
      </c>
      <c r="F80" s="3"/>
      <c r="G80">
        <f t="shared" si="7"/>
        <v>14.5</v>
      </c>
    </row>
    <row r="81" spans="1:7" x14ac:dyDescent="0.3">
      <c r="A81" t="s">
        <v>44</v>
      </c>
      <c r="B81">
        <v>16</v>
      </c>
      <c r="E81">
        <v>35</v>
      </c>
      <c r="F81" s="3"/>
      <c r="G81">
        <f t="shared" si="7"/>
        <v>560</v>
      </c>
    </row>
    <row r="82" spans="1:7" x14ac:dyDescent="0.3">
      <c r="A82" t="s">
        <v>46</v>
      </c>
      <c r="B82">
        <v>1</v>
      </c>
      <c r="E82">
        <v>1171.2</v>
      </c>
      <c r="F82" s="3"/>
      <c r="G82">
        <f t="shared" si="7"/>
        <v>1171.2</v>
      </c>
    </row>
    <row r="83" spans="1:7" x14ac:dyDescent="0.3">
      <c r="A83" t="s">
        <v>49</v>
      </c>
      <c r="F83" s="3"/>
      <c r="G83">
        <f t="shared" si="7"/>
        <v>0</v>
      </c>
    </row>
    <row r="84" spans="1:7" x14ac:dyDescent="0.3">
      <c r="F84" s="3"/>
      <c r="G84">
        <f t="shared" si="7"/>
        <v>0</v>
      </c>
    </row>
    <row r="85" spans="1:7" x14ac:dyDescent="0.3">
      <c r="F85" s="3"/>
      <c r="G85">
        <f t="shared" si="7"/>
        <v>0</v>
      </c>
    </row>
    <row r="86" spans="1:7" x14ac:dyDescent="0.3">
      <c r="A86" t="s">
        <v>65</v>
      </c>
      <c r="B86">
        <v>1</v>
      </c>
      <c r="E86">
        <v>3</v>
      </c>
      <c r="F86" s="3" t="s">
        <v>58</v>
      </c>
      <c r="G86">
        <f t="shared" si="7"/>
        <v>3</v>
      </c>
    </row>
    <row r="87" spans="1:7" x14ac:dyDescent="0.3">
      <c r="A87" t="s">
        <v>78</v>
      </c>
      <c r="F87" s="3"/>
      <c r="G87">
        <f t="shared" si="7"/>
        <v>0</v>
      </c>
    </row>
    <row r="88" spans="1:7" ht="115.2" x14ac:dyDescent="0.3">
      <c r="A88" s="6" t="s">
        <v>79</v>
      </c>
      <c r="F88" s="3"/>
    </row>
    <row r="89" spans="1:7" x14ac:dyDescent="0.3">
      <c r="A89" t="s">
        <v>51</v>
      </c>
      <c r="E89">
        <v>8.1</v>
      </c>
      <c r="F89" s="3"/>
      <c r="G89">
        <f t="shared" si="7"/>
        <v>0</v>
      </c>
    </row>
    <row r="90" spans="1:7" x14ac:dyDescent="0.3">
      <c r="A90" t="s">
        <v>50</v>
      </c>
      <c r="E90">
        <v>90</v>
      </c>
      <c r="F90" s="3" t="s">
        <v>57</v>
      </c>
      <c r="G90">
        <f t="shared" si="7"/>
        <v>0</v>
      </c>
    </row>
    <row r="92" spans="1:7" x14ac:dyDescent="0.3">
      <c r="A92" t="s">
        <v>45</v>
      </c>
      <c r="G92">
        <f>SUM(G3:G91)</f>
        <v>3482.4467000000004</v>
      </c>
    </row>
    <row r="93" spans="1:7" x14ac:dyDescent="0.3">
      <c r="A93" t="s">
        <v>47</v>
      </c>
    </row>
    <row r="94" spans="1:7" x14ac:dyDescent="0.3">
      <c r="A94" t="s">
        <v>48</v>
      </c>
    </row>
    <row r="95" spans="1:7" x14ac:dyDescent="0.3">
      <c r="A95" t="s">
        <v>45</v>
      </c>
      <c r="G95">
        <f>SUM(G92:G94)</f>
        <v>3482.4467000000004</v>
      </c>
    </row>
  </sheetData>
  <protectedRanges>
    <protectedRange sqref="F3:F90" name="Intervalo3_2"/>
  </protectedRanges>
  <dataValidations count="1">
    <dataValidation type="list" allowBlank="1" showInputMessage="1" sqref="F3:F90" xr:uid="{00000000-0002-0000-0000-000000000000}">
      <formula1>$M$1:$P$1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6A38-AFE1-4842-8215-8B96A1D93984}">
  <dimension ref="A2:B91"/>
  <sheetViews>
    <sheetView tabSelected="1" topLeftCell="A65" zoomScaleNormal="100" workbookViewId="0">
      <selection activeCell="E73" sqref="E73"/>
    </sheetView>
  </sheetViews>
  <sheetFormatPr defaultRowHeight="14.4" x14ac:dyDescent="0.3"/>
  <cols>
    <col min="1" max="1" width="85.5546875" customWidth="1"/>
  </cols>
  <sheetData>
    <row r="2" spans="1:2" x14ac:dyDescent="0.3">
      <c r="A2" s="1" t="s">
        <v>11</v>
      </c>
    </row>
    <row r="3" spans="1:2" x14ac:dyDescent="0.3">
      <c r="B3">
        <v>2</v>
      </c>
    </row>
    <row r="4" spans="1:2" x14ac:dyDescent="0.3">
      <c r="A4" t="s">
        <v>54</v>
      </c>
      <c r="B4">
        <v>4</v>
      </c>
    </row>
    <row r="5" spans="1:2" x14ac:dyDescent="0.3">
      <c r="A5" t="s">
        <v>0</v>
      </c>
      <c r="B5">
        <v>16</v>
      </c>
    </row>
    <row r="6" spans="1:2" x14ac:dyDescent="0.3">
      <c r="A6" t="s">
        <v>98</v>
      </c>
      <c r="B6">
        <v>1</v>
      </c>
    </row>
    <row r="7" spans="1:2" x14ac:dyDescent="0.3">
      <c r="A7" t="s">
        <v>94</v>
      </c>
      <c r="B7">
        <v>20</v>
      </c>
    </row>
    <row r="8" spans="1:2" x14ac:dyDescent="0.3">
      <c r="A8" t="s">
        <v>92</v>
      </c>
      <c r="B8">
        <v>4</v>
      </c>
    </row>
    <row r="9" spans="1:2" x14ac:dyDescent="0.3">
      <c r="A9" t="s">
        <v>16</v>
      </c>
      <c r="B9">
        <v>11</v>
      </c>
    </row>
    <row r="10" spans="1:2" x14ac:dyDescent="0.3">
      <c r="A10" t="s">
        <v>2</v>
      </c>
      <c r="B10">
        <v>21</v>
      </c>
    </row>
    <row r="11" spans="1:2" x14ac:dyDescent="0.3">
      <c r="A11" t="s">
        <v>62</v>
      </c>
      <c r="B11">
        <v>26</v>
      </c>
    </row>
    <row r="12" spans="1:2" x14ac:dyDescent="0.3">
      <c r="A12" t="s">
        <v>3</v>
      </c>
      <c r="B12">
        <v>7</v>
      </c>
    </row>
    <row r="13" spans="1:2" x14ac:dyDescent="0.3">
      <c r="A13" t="s">
        <v>5</v>
      </c>
      <c r="B13">
        <v>5</v>
      </c>
    </row>
    <row r="14" spans="1:2" x14ac:dyDescent="0.3">
      <c r="A14" t="s">
        <v>97</v>
      </c>
      <c r="B14">
        <v>2</v>
      </c>
    </row>
    <row r="15" spans="1:2" x14ac:dyDescent="0.3">
      <c r="A15" t="s">
        <v>7</v>
      </c>
      <c r="B15">
        <v>2</v>
      </c>
    </row>
    <row r="16" spans="1:2" x14ac:dyDescent="0.3">
      <c r="A16" t="s">
        <v>91</v>
      </c>
      <c r="B16">
        <v>2</v>
      </c>
    </row>
    <row r="17" spans="1:2" x14ac:dyDescent="0.3">
      <c r="A17" t="s">
        <v>90</v>
      </c>
      <c r="B17">
        <v>20</v>
      </c>
    </row>
    <row r="18" spans="1:2" x14ac:dyDescent="0.3">
      <c r="A18" t="s">
        <v>93</v>
      </c>
      <c r="B18">
        <v>10</v>
      </c>
    </row>
    <row r="20" spans="1:2" x14ac:dyDescent="0.3">
      <c r="A20" s="1" t="s">
        <v>67</v>
      </c>
    </row>
    <row r="21" spans="1:2" x14ac:dyDescent="0.3">
      <c r="A21" t="s">
        <v>68</v>
      </c>
      <c r="B21">
        <v>2</v>
      </c>
    </row>
    <row r="22" spans="1:2" x14ac:dyDescent="0.3">
      <c r="A22" t="s">
        <v>69</v>
      </c>
      <c r="B22">
        <v>4</v>
      </c>
    </row>
    <row r="24" spans="1:2" x14ac:dyDescent="0.3">
      <c r="A24" s="1" t="s">
        <v>12</v>
      </c>
    </row>
    <row r="25" spans="1:2" x14ac:dyDescent="0.3">
      <c r="A25" t="s">
        <v>17</v>
      </c>
      <c r="B25">
        <v>2</v>
      </c>
    </row>
    <row r="26" spans="1:2" x14ac:dyDescent="0.3">
      <c r="A26" t="s">
        <v>18</v>
      </c>
      <c r="B26">
        <v>64</v>
      </c>
    </row>
    <row r="27" spans="1:2" x14ac:dyDescent="0.3">
      <c r="A27" t="s">
        <v>19</v>
      </c>
      <c r="B27">
        <v>22</v>
      </c>
    </row>
    <row r="28" spans="1:2" x14ac:dyDescent="0.3">
      <c r="A28" t="s">
        <v>89</v>
      </c>
      <c r="B28">
        <v>10</v>
      </c>
    </row>
    <row r="31" spans="1:2" x14ac:dyDescent="0.3">
      <c r="A31" s="1" t="s">
        <v>20</v>
      </c>
    </row>
    <row r="32" spans="1:2" x14ac:dyDescent="0.3">
      <c r="A32" t="s">
        <v>33</v>
      </c>
      <c r="B32">
        <v>5</v>
      </c>
    </row>
    <row r="33" spans="1:2" x14ac:dyDescent="0.3">
      <c r="A33" t="s">
        <v>35</v>
      </c>
      <c r="B33">
        <v>18</v>
      </c>
    </row>
    <row r="37" spans="1:2" x14ac:dyDescent="0.3">
      <c r="A37" s="1" t="s">
        <v>87</v>
      </c>
    </row>
    <row r="38" spans="1:2" x14ac:dyDescent="0.3">
      <c r="A38" t="s">
        <v>42</v>
      </c>
      <c r="B38">
        <v>2</v>
      </c>
    </row>
    <row r="39" spans="1:2" x14ac:dyDescent="0.3">
      <c r="A39" t="s">
        <v>43</v>
      </c>
      <c r="B39">
        <v>3</v>
      </c>
    </row>
    <row r="40" spans="1:2" x14ac:dyDescent="0.3">
      <c r="A40" t="s">
        <v>21</v>
      </c>
      <c r="B40">
        <v>2</v>
      </c>
    </row>
    <row r="41" spans="1:2" x14ac:dyDescent="0.3">
      <c r="A41" t="s">
        <v>22</v>
      </c>
      <c r="B41">
        <v>1</v>
      </c>
    </row>
    <row r="42" spans="1:2" x14ac:dyDescent="0.3">
      <c r="A42" t="s">
        <v>96</v>
      </c>
      <c r="B42">
        <v>8</v>
      </c>
    </row>
    <row r="44" spans="1:2" x14ac:dyDescent="0.3">
      <c r="A44" s="1" t="s">
        <v>85</v>
      </c>
      <c r="B44" t="s">
        <v>29</v>
      </c>
    </row>
    <row r="45" spans="1:2" x14ac:dyDescent="0.3">
      <c r="A45" t="s">
        <v>24</v>
      </c>
      <c r="B45">
        <v>4</v>
      </c>
    </row>
    <row r="46" spans="1:2" x14ac:dyDescent="0.3">
      <c r="A46" t="s">
        <v>80</v>
      </c>
      <c r="B46">
        <v>2</v>
      </c>
    </row>
    <row r="47" spans="1:2" x14ac:dyDescent="0.3">
      <c r="A47" t="s">
        <v>81</v>
      </c>
      <c r="B47">
        <v>6</v>
      </c>
    </row>
    <row r="48" spans="1:2" x14ac:dyDescent="0.3">
      <c r="A48" t="s">
        <v>82</v>
      </c>
      <c r="B48">
        <v>4</v>
      </c>
    </row>
    <row r="49" spans="1:2" x14ac:dyDescent="0.3">
      <c r="A49" t="s">
        <v>95</v>
      </c>
      <c r="B49">
        <v>6</v>
      </c>
    </row>
    <row r="50" spans="1:2" x14ac:dyDescent="0.3">
      <c r="A50" t="s">
        <v>25</v>
      </c>
      <c r="B50">
        <v>1</v>
      </c>
    </row>
    <row r="51" spans="1:2" x14ac:dyDescent="0.3">
      <c r="A51" t="s">
        <v>26</v>
      </c>
      <c r="B51">
        <f>2</f>
        <v>2</v>
      </c>
    </row>
    <row r="52" spans="1:2" x14ac:dyDescent="0.3">
      <c r="A52" t="s">
        <v>83</v>
      </c>
      <c r="B52">
        <v>6</v>
      </c>
    </row>
    <row r="53" spans="1:2" x14ac:dyDescent="0.3">
      <c r="A53" t="s">
        <v>75</v>
      </c>
      <c r="B53">
        <v>1</v>
      </c>
    </row>
    <row r="54" spans="1:2" x14ac:dyDescent="0.3">
      <c r="A54" t="s">
        <v>27</v>
      </c>
      <c r="B54">
        <v>1</v>
      </c>
    </row>
    <row r="55" spans="1:2" x14ac:dyDescent="0.3">
      <c r="A55" t="s">
        <v>30</v>
      </c>
      <c r="B55">
        <v>6</v>
      </c>
    </row>
    <row r="56" spans="1:2" x14ac:dyDescent="0.3">
      <c r="A56" t="s">
        <v>28</v>
      </c>
      <c r="B56">
        <v>2</v>
      </c>
    </row>
    <row r="57" spans="1:2" x14ac:dyDescent="0.3">
      <c r="A57" t="s">
        <v>76</v>
      </c>
      <c r="B57">
        <v>2</v>
      </c>
    </row>
    <row r="58" spans="1:2" x14ac:dyDescent="0.3">
      <c r="A58" t="s">
        <v>41</v>
      </c>
      <c r="B58">
        <v>2</v>
      </c>
    </row>
    <row r="59" spans="1:2" x14ac:dyDescent="0.3">
      <c r="A59" t="s">
        <v>77</v>
      </c>
      <c r="B59">
        <v>1</v>
      </c>
    </row>
    <row r="60" spans="1:2" x14ac:dyDescent="0.3">
      <c r="A60" t="s">
        <v>86</v>
      </c>
    </row>
    <row r="62" spans="1:2" x14ac:dyDescent="0.3">
      <c r="A62" s="1" t="s">
        <v>23</v>
      </c>
    </row>
    <row r="63" spans="1:2" x14ac:dyDescent="0.3">
      <c r="A63" t="s">
        <v>84</v>
      </c>
      <c r="B63">
        <v>4</v>
      </c>
    </row>
    <row r="65" spans="1:2" x14ac:dyDescent="0.3">
      <c r="A65" s="6" t="s">
        <v>88</v>
      </c>
    </row>
    <row r="66" spans="1:2" x14ac:dyDescent="0.3">
      <c r="A66" t="s">
        <v>64</v>
      </c>
    </row>
    <row r="67" spans="1:2" x14ac:dyDescent="0.3">
      <c r="A67" t="s">
        <v>63</v>
      </c>
      <c r="B67">
        <v>1</v>
      </c>
    </row>
    <row r="68" spans="1:2" x14ac:dyDescent="0.3">
      <c r="A68" t="s">
        <v>55</v>
      </c>
    </row>
    <row r="69" spans="1:2" x14ac:dyDescent="0.3">
      <c r="A69" t="s">
        <v>55</v>
      </c>
      <c r="B69">
        <v>1</v>
      </c>
    </row>
    <row r="70" spans="1:2" x14ac:dyDescent="0.3">
      <c r="A70" t="s">
        <v>70</v>
      </c>
      <c r="B70">
        <v>1</v>
      </c>
    </row>
    <row r="71" spans="1:2" x14ac:dyDescent="0.3">
      <c r="A71" t="s">
        <v>31</v>
      </c>
      <c r="B71">
        <v>1</v>
      </c>
    </row>
    <row r="72" spans="1:2" x14ac:dyDescent="0.3">
      <c r="A72" t="s">
        <v>74</v>
      </c>
    </row>
    <row r="73" spans="1:2" x14ac:dyDescent="0.3">
      <c r="A73" t="s">
        <v>73</v>
      </c>
      <c r="B73">
        <v>1</v>
      </c>
    </row>
    <row r="74" spans="1:2" x14ac:dyDescent="0.3">
      <c r="A74" t="s">
        <v>66</v>
      </c>
      <c r="B74">
        <v>1</v>
      </c>
    </row>
    <row r="75" spans="1:2" x14ac:dyDescent="0.3">
      <c r="A75" t="s">
        <v>36</v>
      </c>
      <c r="B75">
        <v>8</v>
      </c>
    </row>
    <row r="76" spans="1:2" x14ac:dyDescent="0.3">
      <c r="A76" t="s">
        <v>71</v>
      </c>
      <c r="B76">
        <v>1</v>
      </c>
    </row>
    <row r="77" spans="1:2" x14ac:dyDescent="0.3">
      <c r="A77" t="s">
        <v>44</v>
      </c>
      <c r="B77">
        <v>16</v>
      </c>
    </row>
    <row r="78" spans="1:2" x14ac:dyDescent="0.3">
      <c r="A78" t="s">
        <v>46</v>
      </c>
      <c r="B78">
        <v>1</v>
      </c>
    </row>
    <row r="79" spans="1:2" x14ac:dyDescent="0.3">
      <c r="A79" t="s">
        <v>49</v>
      </c>
    </row>
    <row r="82" spans="1:2" x14ac:dyDescent="0.3">
      <c r="A82" t="s">
        <v>65</v>
      </c>
      <c r="B82">
        <v>1</v>
      </c>
    </row>
    <row r="83" spans="1:2" x14ac:dyDescent="0.3">
      <c r="A83" t="s">
        <v>78</v>
      </c>
    </row>
    <row r="84" spans="1:2" ht="115.2" x14ac:dyDescent="0.3">
      <c r="A84" s="6" t="s">
        <v>79</v>
      </c>
    </row>
    <row r="85" spans="1:2" x14ac:dyDescent="0.3">
      <c r="A85" t="s">
        <v>51</v>
      </c>
    </row>
    <row r="86" spans="1:2" x14ac:dyDescent="0.3">
      <c r="A86" t="s">
        <v>50</v>
      </c>
    </row>
    <row r="88" spans="1:2" x14ac:dyDescent="0.3">
      <c r="A88" t="s">
        <v>45</v>
      </c>
    </row>
    <row r="89" spans="1:2" x14ac:dyDescent="0.3">
      <c r="A89" t="s">
        <v>47</v>
      </c>
    </row>
    <row r="90" spans="1:2" x14ac:dyDescent="0.3">
      <c r="A90" t="s">
        <v>48</v>
      </c>
    </row>
    <row r="91" spans="1:2" x14ac:dyDescent="0.3">
      <c r="A91" t="s">
        <v>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</dc:creator>
  <cp:lastModifiedBy>Aditiv Lab</cp:lastModifiedBy>
  <dcterms:created xsi:type="dcterms:W3CDTF">2018-12-29T15:41:22Z</dcterms:created>
  <dcterms:modified xsi:type="dcterms:W3CDTF">2026-08-19T19:22:34Z</dcterms:modified>
</cp:coreProperties>
</file>